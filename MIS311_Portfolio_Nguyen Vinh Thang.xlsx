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040f4e36e44a3ef0/Desktop/Q2-2026/Mis 311/ASSignment/"/>
    </mc:Choice>
  </mc:AlternateContent>
  <xr:revisionPtr revIDLastSave="0" documentId="13_ncr:1_{D3187EE1-63FF-4732-98EE-99BBE53CC70F}" xr6:coauthVersionLast="47" xr6:coauthVersionMax="47" xr10:uidLastSave="{00000000-0000-0000-0000-000000000000}"/>
  <bookViews>
    <workbookView xWindow="-108" yWindow="-108" windowWidth="23256" windowHeight="12456" activeTab="1" xr2:uid="{3A8C623B-B399-4797-B7F3-4F15079145AC}"/>
  </bookViews>
  <sheets>
    <sheet name="Score board" sheetId="2" r:id="rId1"/>
    <sheet name="01_Cost of Living" sheetId="1" r:id="rId2"/>
  </sheets>
  <definedNames>
    <definedName name="_xlnm._FilterDatabase" localSheetId="1" hidden="1">'01_Cost of Living'!$A$1:$E$202</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1" l="1"/>
  <c r="E38" i="1"/>
</calcChain>
</file>

<file path=xl/sharedStrings.xml><?xml version="1.0" encoding="utf-8"?>
<sst xmlns="http://schemas.openxmlformats.org/spreadsheetml/2006/main" count="481" uniqueCount="41">
  <si>
    <t>Country</t>
  </si>
  <si>
    <t>Year</t>
  </si>
  <si>
    <t>Average_Monthly_Income</t>
  </si>
  <si>
    <t>Cost_of_Living</t>
  </si>
  <si>
    <t>Region</t>
  </si>
  <si>
    <t>Australia</t>
  </si>
  <si>
    <t>Oceania</t>
  </si>
  <si>
    <t>India</t>
  </si>
  <si>
    <t>Asia</t>
  </si>
  <si>
    <t>Russia</t>
  </si>
  <si>
    <t>Europe</t>
  </si>
  <si>
    <t>South Africa</t>
  </si>
  <si>
    <t>Africa</t>
  </si>
  <si>
    <t>Brazil</t>
  </si>
  <si>
    <t>South America</t>
  </si>
  <si>
    <t>China</t>
  </si>
  <si>
    <t>Japan</t>
  </si>
  <si>
    <t>Canada</t>
  </si>
  <si>
    <t>North America</t>
  </si>
  <si>
    <t>Germany</t>
  </si>
  <si>
    <t>Mexico</t>
  </si>
  <si>
    <t>United States</t>
  </si>
  <si>
    <t>France</t>
  </si>
  <si>
    <t>Mean_Average_Monthly_Income</t>
  </si>
  <si>
    <t>Row Labels</t>
  </si>
  <si>
    <t>Grand Total</t>
  </si>
  <si>
    <t>Column Labels</t>
  </si>
  <si>
    <t>Average of Average_Monthly_Income</t>
  </si>
  <si>
    <t>Average of Cost_of_Living</t>
  </si>
  <si>
    <t>Max of Average_Monthly_Income</t>
  </si>
  <si>
    <t>Min of Average_Monthly_Income</t>
  </si>
  <si>
    <t>Comment</t>
  </si>
  <si>
    <t>Criteria</t>
  </si>
  <si>
    <t>Score</t>
  </si>
  <si>
    <t>Data Cleaning and Preparation</t>
  </si>
  <si>
    <t>Data Analysis and Insight</t>
  </si>
  <si>
    <t>GitHub Portfolio Quality</t>
  </si>
  <si>
    <t>Total</t>
  </si>
  <si>
    <t>Name: Nguyễn Vinh Thắng</t>
  </si>
  <si>
    <t>IRN: 2332300134</t>
  </si>
  <si>
    <t>GitHub Portfolio Link: https://github.com/VinhThang-VN-BA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</si>
</sst>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2" fontId="0" fillId="0" borderId="0" xfId="0" applyNumberFormat="1"/>
    <xf numFmtId="0" fontId="0" fillId="0" borderId="0" xfId="0" pivotButton="1"/>
    <xf numFmtId="0" fontId="0" fillId="0" borderId="0" xfId="0" applyAlignment="1">
      <alignment horizontal="left"/>
    </xf>
    <xf numFmtId="0" fontId="19" fillId="0" borderId="16" xfId="0" applyFont="1" applyBorder="1" applyAlignment="1">
      <alignment horizontal="center" vertical="center" wrapText="1"/>
    </xf>
    <xf numFmtId="0" fontId="19" fillId="0" borderId="15" xfId="0" applyFont="1" applyBorder="1" applyAlignment="1">
      <alignment horizontal="center" vertical="center" wrapText="1"/>
    </xf>
    <xf numFmtId="0" fontId="18" fillId="0" borderId="16" xfId="0" applyFont="1" applyBorder="1" applyAlignment="1">
      <alignment vertical="center" wrapText="1"/>
    </xf>
    <xf numFmtId="0" fontId="18" fillId="0" borderId="15" xfId="0" applyFont="1" applyBorder="1" applyAlignment="1">
      <alignment horizontal="center" vertical="center" wrapText="1"/>
    </xf>
    <xf numFmtId="0" fontId="18" fillId="0" borderId="10" xfId="0" applyFont="1" applyBorder="1" applyAlignment="1">
      <alignment vertical="center" wrapText="1"/>
    </xf>
    <xf numFmtId="0" fontId="18" fillId="0" borderId="11" xfId="0" applyFont="1" applyBorder="1" applyAlignment="1">
      <alignment vertical="center" wrapText="1"/>
    </xf>
    <xf numFmtId="0" fontId="18" fillId="0" borderId="12" xfId="0" applyFont="1" applyBorder="1" applyAlignment="1">
      <alignment vertical="center" wrapText="1"/>
    </xf>
    <xf numFmtId="0" fontId="18" fillId="0" borderId="13" xfId="0" applyFont="1" applyBorder="1" applyAlignment="1">
      <alignment vertical="center" wrapText="1"/>
    </xf>
    <xf numFmtId="0" fontId="18" fillId="0" borderId="14" xfId="0" applyFont="1" applyBorder="1" applyAlignment="1">
      <alignment vertical="center" wrapText="1"/>
    </xf>
    <xf numFmtId="0" fontId="18" fillId="0" borderId="15" xfId="0" applyFont="1" applyBorder="1" applyAlignment="1">
      <alignment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6"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[MIS311_Portfolio_Nguyen Vinh Thang.xlsx]01_Cost of Living!PivotTable2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'01_Cost of Living'!$K$32</c:f>
              <c:strCache>
                <c:ptCount val="1"/>
                <c:pt idx="0">
                  <c:v>Total</c:v>
                </c:pt>
              </c:strCache>
            </c:strRef>
          </c:tx>
          <c:spPr>
            <a:solidFill>
              <a:schemeClr val="accent1"/>
            </a:solidFill>
            <a:ln>
              <a:noFill/>
            </a:ln>
            <a:effectLst/>
          </c:spPr>
          <c:invertIfNegative val="0"/>
          <c:cat>
            <c:strRef>
              <c:f>'01_Cost of Living'!$J$33:$J$39</c:f>
              <c:strCache>
                <c:ptCount val="6"/>
                <c:pt idx="0">
                  <c:v>Africa</c:v>
                </c:pt>
                <c:pt idx="1">
                  <c:v>Asia</c:v>
                </c:pt>
                <c:pt idx="2">
                  <c:v>Europe</c:v>
                </c:pt>
                <c:pt idx="3">
                  <c:v>North America</c:v>
                </c:pt>
                <c:pt idx="4">
                  <c:v>Oceania</c:v>
                </c:pt>
                <c:pt idx="5">
                  <c:v>South America</c:v>
                </c:pt>
              </c:strCache>
            </c:strRef>
          </c:cat>
          <c:val>
            <c:numRef>
              <c:f>'01_Cost of Living'!$K$33:$K$39</c:f>
              <c:numCache>
                <c:formatCode>General</c:formatCode>
                <c:ptCount val="6"/>
                <c:pt idx="0">
                  <c:v>4695.1850000000004</c:v>
                </c:pt>
                <c:pt idx="1">
                  <c:v>4172.5140425531908</c:v>
                </c:pt>
                <c:pt idx="2">
                  <c:v>4477.2575555555559</c:v>
                </c:pt>
                <c:pt idx="3">
                  <c:v>3776.4153529411769</c:v>
                </c:pt>
                <c:pt idx="4">
                  <c:v>4540.8719545454533</c:v>
                </c:pt>
                <c:pt idx="5">
                  <c:v>4389.5681249999998</c:v>
                </c:pt>
              </c:numCache>
            </c:numRef>
          </c:val>
          <c:extLst>
            <c:ext xmlns:c16="http://schemas.microsoft.com/office/drawing/2014/chart" uri="{C3380CC4-5D6E-409C-BE32-E72D297353CC}">
              <c16:uniqueId val="{00000000-A30D-4F85-957F-2C85663BBAFF}"/>
            </c:ext>
          </c:extLst>
        </c:ser>
        <c:dLbls>
          <c:showLegendKey val="0"/>
          <c:showVal val="0"/>
          <c:showCatName val="0"/>
          <c:showSerName val="0"/>
          <c:showPercent val="0"/>
          <c:showBubbleSize val="0"/>
        </c:dLbls>
        <c:gapWidth val="219"/>
        <c:overlap val="-27"/>
        <c:axId val="434337240"/>
        <c:axId val="434337960"/>
      </c:barChart>
      <c:catAx>
        <c:axId val="43433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37960"/>
        <c:crosses val="autoZero"/>
        <c:auto val="1"/>
        <c:lblAlgn val="ctr"/>
        <c:lblOffset val="100"/>
        <c:noMultiLvlLbl val="0"/>
      </c:catAx>
      <c:valAx>
        <c:axId val="434337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37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[MIS311_Portfolio_Nguyen Vinh Thang.xlsx]01_Cost of Living!PivotTable4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'01_Cost of Living'!$K$48</c:f>
              <c:strCache>
                <c:ptCount val="1"/>
                <c:pt idx="0">
                  <c:v>Total</c:v>
                </c:pt>
              </c:strCache>
            </c:strRef>
          </c:tx>
          <c:spPr>
            <a:pattFill prst="ltUpDiag">
              <a:fgClr>
                <a:schemeClr val="accent2"/>
              </a:fgClr>
              <a:bgClr>
                <a:schemeClr val="lt1"/>
              </a:bgClr>
            </a:pattFill>
            <a:ln>
              <a:noFill/>
            </a:ln>
            <a:effectLst/>
          </c:spPr>
          <c:invertIfNegative val="0"/>
          <c:cat>
            <c:strRef>
              <c:f>'01_Cost of Living'!$J$49:$J$55</c:f>
              <c:strCache>
                <c:ptCount val="6"/>
                <c:pt idx="0">
                  <c:v>Africa</c:v>
                </c:pt>
                <c:pt idx="1">
                  <c:v>Asia</c:v>
                </c:pt>
                <c:pt idx="2">
                  <c:v>Europe</c:v>
                </c:pt>
                <c:pt idx="3">
                  <c:v>North America</c:v>
                </c:pt>
                <c:pt idx="4">
                  <c:v>Oceania</c:v>
                </c:pt>
                <c:pt idx="5">
                  <c:v>South America</c:v>
                </c:pt>
              </c:strCache>
            </c:strRef>
          </c:cat>
          <c:val>
            <c:numRef>
              <c:f>'01_Cost of Living'!$K$49:$K$55</c:f>
              <c:numCache>
                <c:formatCode>General</c:formatCode>
                <c:ptCount val="6"/>
                <c:pt idx="0">
                  <c:v>3963.173888888889</c:v>
                </c:pt>
                <c:pt idx="1">
                  <c:v>3645.2931914893616</c:v>
                </c:pt>
                <c:pt idx="2">
                  <c:v>3554.3499999999995</c:v>
                </c:pt>
                <c:pt idx="3">
                  <c:v>3750.072941176471</c:v>
                </c:pt>
                <c:pt idx="4">
                  <c:v>3913.3959090909079</c:v>
                </c:pt>
                <c:pt idx="5">
                  <c:v>3585.0149999999994</c:v>
                </c:pt>
              </c:numCache>
            </c:numRef>
          </c:val>
          <c:extLst>
            <c:ext xmlns:c16="http://schemas.microsoft.com/office/drawing/2014/chart" uri="{C3380CC4-5D6E-409C-BE32-E72D297353CC}">
              <c16:uniqueId val="{00000000-6DCB-4F62-A313-C44B7F909136}"/>
            </c:ext>
          </c:extLst>
        </c:ser>
        <c:dLbls>
          <c:showLegendKey val="0"/>
          <c:showVal val="0"/>
          <c:showCatName val="0"/>
          <c:showSerName val="0"/>
          <c:showPercent val="0"/>
          <c:showBubbleSize val="0"/>
        </c:dLbls>
        <c:gapWidth val="269"/>
        <c:overlap val="-20"/>
        <c:axId val="434331480"/>
        <c:axId val="434331840"/>
      </c:barChart>
      <c:catAx>
        <c:axId val="4343314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34331840"/>
        <c:crosses val="autoZero"/>
        <c:auto val="1"/>
        <c:lblAlgn val="ctr"/>
        <c:lblOffset val="100"/>
        <c:noMultiLvlLbl val="0"/>
      </c:catAx>
      <c:valAx>
        <c:axId val="43433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4331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[MIS311_Portfolio_Nguyen Vinh Thang.xlsx]01_Cost of Living!PivotTable5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'01_Cost of Living'!$AB$64:$AB$65</c:f>
              <c:strCache>
                <c:ptCount val="1"/>
                <c:pt idx="0">
                  <c:v>Africa</c:v>
                </c:pt>
              </c:strCache>
            </c:strRef>
          </c:tx>
          <c:spPr>
            <a:solidFill>
              <a:schemeClr val="accent1"/>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Living'!$AB$66:$AB$90</c:f>
              <c:numCache>
                <c:formatCode>General</c:formatCode>
                <c:ptCount val="24"/>
                <c:pt idx="0">
                  <c:v>4859.29</c:v>
                </c:pt>
                <c:pt idx="3">
                  <c:v>4862.78</c:v>
                </c:pt>
                <c:pt idx="4">
                  <c:v>3690.77</c:v>
                </c:pt>
                <c:pt idx="6">
                  <c:v>2837.92</c:v>
                </c:pt>
                <c:pt idx="10">
                  <c:v>6791.74</c:v>
                </c:pt>
                <c:pt idx="11">
                  <c:v>4421.3966666666665</c:v>
                </c:pt>
                <c:pt idx="12">
                  <c:v>3299.82</c:v>
                </c:pt>
                <c:pt idx="13">
                  <c:v>7441.76</c:v>
                </c:pt>
                <c:pt idx="15">
                  <c:v>1644.04</c:v>
                </c:pt>
                <c:pt idx="18">
                  <c:v>3092.72</c:v>
                </c:pt>
                <c:pt idx="19">
                  <c:v>3965.04</c:v>
                </c:pt>
                <c:pt idx="20">
                  <c:v>6107.07</c:v>
                </c:pt>
                <c:pt idx="22">
                  <c:v>6465.3150000000005</c:v>
                </c:pt>
              </c:numCache>
            </c:numRef>
          </c:val>
          <c:extLst>
            <c:ext xmlns:c16="http://schemas.microsoft.com/office/drawing/2014/chart" uri="{C3380CC4-5D6E-409C-BE32-E72D297353CC}">
              <c16:uniqueId val="{00000008-9810-4BAA-B506-9059174A66E8}"/>
            </c:ext>
          </c:extLst>
        </c:ser>
        <c:ser>
          <c:idx val="1"/>
          <c:order val="1"/>
          <c:tx>
            <c:strRef>
              <c:f>'01_Cost of Living'!$AC$64:$AC$65</c:f>
              <c:strCache>
                <c:ptCount val="1"/>
                <c:pt idx="0">
                  <c:v>Asia</c:v>
                </c:pt>
              </c:strCache>
            </c:strRef>
          </c:tx>
          <c:spPr>
            <a:solidFill>
              <a:schemeClr val="accent2"/>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Living'!$AC$66:$AC$90</c:f>
              <c:numCache>
                <c:formatCode>General</c:formatCode>
                <c:ptCount val="24"/>
                <c:pt idx="0">
                  <c:v>6117.4250000000002</c:v>
                </c:pt>
                <c:pt idx="1">
                  <c:v>4471.2849999999999</c:v>
                </c:pt>
                <c:pt idx="2">
                  <c:v>2998.5349999999999</c:v>
                </c:pt>
                <c:pt idx="4">
                  <c:v>3891.63</c:v>
                </c:pt>
                <c:pt idx="6">
                  <c:v>4293.4999999999991</c:v>
                </c:pt>
                <c:pt idx="7">
                  <c:v>1410.81</c:v>
                </c:pt>
                <c:pt idx="8">
                  <c:v>4413.3233333333337</c:v>
                </c:pt>
                <c:pt idx="10">
                  <c:v>7246.81</c:v>
                </c:pt>
                <c:pt idx="11">
                  <c:v>1171.47</c:v>
                </c:pt>
                <c:pt idx="12">
                  <c:v>6355.9699999999993</c:v>
                </c:pt>
                <c:pt idx="13">
                  <c:v>2012.2</c:v>
                </c:pt>
                <c:pt idx="14">
                  <c:v>4337.18</c:v>
                </c:pt>
                <c:pt idx="16">
                  <c:v>2414.395</c:v>
                </c:pt>
                <c:pt idx="17">
                  <c:v>3929.2974999999997</c:v>
                </c:pt>
                <c:pt idx="18">
                  <c:v>5060.5524999999998</c:v>
                </c:pt>
                <c:pt idx="19">
                  <c:v>6705.4433333333336</c:v>
                </c:pt>
                <c:pt idx="20">
                  <c:v>4892.6066666666666</c:v>
                </c:pt>
                <c:pt idx="21">
                  <c:v>2299.3650000000002</c:v>
                </c:pt>
                <c:pt idx="22">
                  <c:v>7924.7</c:v>
                </c:pt>
                <c:pt idx="23">
                  <c:v>3011.79</c:v>
                </c:pt>
              </c:numCache>
            </c:numRef>
          </c:val>
          <c:extLst>
            <c:ext xmlns:c16="http://schemas.microsoft.com/office/drawing/2014/chart" uri="{C3380CC4-5D6E-409C-BE32-E72D297353CC}">
              <c16:uniqueId val="{00000016-9810-4BAA-B506-9059174A66E8}"/>
            </c:ext>
          </c:extLst>
        </c:ser>
        <c:ser>
          <c:idx val="2"/>
          <c:order val="2"/>
          <c:tx>
            <c:strRef>
              <c:f>'01_Cost of Living'!$AD$64:$AD$65</c:f>
              <c:strCache>
                <c:ptCount val="1"/>
                <c:pt idx="0">
                  <c:v>Europe</c:v>
                </c:pt>
              </c:strCache>
            </c:strRef>
          </c:tx>
          <c:spPr>
            <a:solidFill>
              <a:schemeClr val="accent3"/>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Living'!$AD$66:$AD$90</c:f>
              <c:numCache>
                <c:formatCode>General</c:formatCode>
                <c:ptCount val="24"/>
                <c:pt idx="0">
                  <c:v>4787.1000000000004</c:v>
                </c:pt>
                <c:pt idx="1">
                  <c:v>1727.42</c:v>
                </c:pt>
                <c:pt idx="2">
                  <c:v>5981.51</c:v>
                </c:pt>
                <c:pt idx="3">
                  <c:v>6192.9849999999997</c:v>
                </c:pt>
                <c:pt idx="4">
                  <c:v>3447.5433333333331</c:v>
                </c:pt>
                <c:pt idx="5">
                  <c:v>1639.635</c:v>
                </c:pt>
                <c:pt idx="6">
                  <c:v>598.21</c:v>
                </c:pt>
                <c:pt idx="7">
                  <c:v>4530.47</c:v>
                </c:pt>
                <c:pt idx="8">
                  <c:v>6299.3600000000006</c:v>
                </c:pt>
                <c:pt idx="9">
                  <c:v>5421.13</c:v>
                </c:pt>
                <c:pt idx="11">
                  <c:v>5155.0124999999998</c:v>
                </c:pt>
                <c:pt idx="12">
                  <c:v>4077.2900000000004</c:v>
                </c:pt>
                <c:pt idx="14">
                  <c:v>5330</c:v>
                </c:pt>
                <c:pt idx="15">
                  <c:v>1624.38</c:v>
                </c:pt>
                <c:pt idx="16">
                  <c:v>5189.8399999999992</c:v>
                </c:pt>
                <c:pt idx="17">
                  <c:v>6327.6366666666663</c:v>
                </c:pt>
                <c:pt idx="18">
                  <c:v>2664.73</c:v>
                </c:pt>
                <c:pt idx="19">
                  <c:v>2409.8000000000002</c:v>
                </c:pt>
                <c:pt idx="20">
                  <c:v>4516.335</c:v>
                </c:pt>
                <c:pt idx="21">
                  <c:v>3217.95</c:v>
                </c:pt>
                <c:pt idx="22">
                  <c:v>5767.6733333333332</c:v>
                </c:pt>
                <c:pt idx="23">
                  <c:v>3442.45</c:v>
                </c:pt>
              </c:numCache>
            </c:numRef>
          </c:val>
          <c:extLst>
            <c:ext xmlns:c16="http://schemas.microsoft.com/office/drawing/2014/chart" uri="{C3380CC4-5D6E-409C-BE32-E72D297353CC}">
              <c16:uniqueId val="{00000017-9810-4BAA-B506-9059174A66E8}"/>
            </c:ext>
          </c:extLst>
        </c:ser>
        <c:ser>
          <c:idx val="3"/>
          <c:order val="3"/>
          <c:tx>
            <c:strRef>
              <c:f>'01_Cost of Living'!$AE$64:$AE$65</c:f>
              <c:strCache>
                <c:ptCount val="1"/>
                <c:pt idx="0">
                  <c:v>North America</c:v>
                </c:pt>
              </c:strCache>
            </c:strRef>
          </c:tx>
          <c:spPr>
            <a:solidFill>
              <a:schemeClr val="accent4"/>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Living'!$AE$66:$AE$90</c:f>
              <c:numCache>
                <c:formatCode>General</c:formatCode>
                <c:ptCount val="24"/>
                <c:pt idx="0">
                  <c:v>4340.5933333333332</c:v>
                </c:pt>
                <c:pt idx="1">
                  <c:v>4474.4549999999999</c:v>
                </c:pt>
                <c:pt idx="2">
                  <c:v>2506.1666666666665</c:v>
                </c:pt>
                <c:pt idx="3">
                  <c:v>3783.4379999999996</c:v>
                </c:pt>
                <c:pt idx="4">
                  <c:v>5828.6450000000004</c:v>
                </c:pt>
                <c:pt idx="5">
                  <c:v>3893.3</c:v>
                </c:pt>
                <c:pt idx="6">
                  <c:v>4490.5410000000002</c:v>
                </c:pt>
                <c:pt idx="7">
                  <c:v>4040.5</c:v>
                </c:pt>
                <c:pt idx="8">
                  <c:v>2857.7849999999999</c:v>
                </c:pt>
                <c:pt idx="9">
                  <c:v>3171.0650000000001</c:v>
                </c:pt>
                <c:pt idx="10">
                  <c:v>4082.31</c:v>
                </c:pt>
                <c:pt idx="11">
                  <c:v>5519.1966666666667</c:v>
                </c:pt>
                <c:pt idx="12">
                  <c:v>2241.6</c:v>
                </c:pt>
                <c:pt idx="13">
                  <c:v>3506.39</c:v>
                </c:pt>
                <c:pt idx="15">
                  <c:v>2765.8475000000003</c:v>
                </c:pt>
                <c:pt idx="16">
                  <c:v>3630.9625000000001</c:v>
                </c:pt>
                <c:pt idx="18">
                  <c:v>2176.19</c:v>
                </c:pt>
                <c:pt idx="19">
                  <c:v>3920.5</c:v>
                </c:pt>
                <c:pt idx="20">
                  <c:v>3680.98</c:v>
                </c:pt>
                <c:pt idx="21">
                  <c:v>2219.39</c:v>
                </c:pt>
                <c:pt idx="22">
                  <c:v>6982.9549999999999</c:v>
                </c:pt>
                <c:pt idx="23">
                  <c:v>2925.7000000000003</c:v>
                </c:pt>
              </c:numCache>
            </c:numRef>
          </c:val>
          <c:extLst>
            <c:ext xmlns:c16="http://schemas.microsoft.com/office/drawing/2014/chart" uri="{C3380CC4-5D6E-409C-BE32-E72D297353CC}">
              <c16:uniqueId val="{00000018-9810-4BAA-B506-9059174A66E8}"/>
            </c:ext>
          </c:extLst>
        </c:ser>
        <c:ser>
          <c:idx val="4"/>
          <c:order val="4"/>
          <c:tx>
            <c:strRef>
              <c:f>'01_Cost of Living'!$AF$64:$AF$65</c:f>
              <c:strCache>
                <c:ptCount val="1"/>
                <c:pt idx="0">
                  <c:v>Oceania</c:v>
                </c:pt>
              </c:strCache>
            </c:strRef>
          </c:tx>
          <c:spPr>
            <a:solidFill>
              <a:schemeClr val="accent5"/>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Living'!$AF$66:$AF$90</c:f>
              <c:numCache>
                <c:formatCode>General</c:formatCode>
                <c:ptCount val="24"/>
                <c:pt idx="0">
                  <c:v>7361.34</c:v>
                </c:pt>
                <c:pt idx="3">
                  <c:v>4675.72</c:v>
                </c:pt>
                <c:pt idx="4">
                  <c:v>4961.12</c:v>
                </c:pt>
                <c:pt idx="5">
                  <c:v>6963.39</c:v>
                </c:pt>
                <c:pt idx="6">
                  <c:v>4156.8866666666663</c:v>
                </c:pt>
                <c:pt idx="9">
                  <c:v>6040.8649999999998</c:v>
                </c:pt>
                <c:pt idx="11">
                  <c:v>7040.93</c:v>
                </c:pt>
                <c:pt idx="12">
                  <c:v>3139.1876666666662</c:v>
                </c:pt>
                <c:pt idx="13">
                  <c:v>3242.58</c:v>
                </c:pt>
                <c:pt idx="15">
                  <c:v>1781.66</c:v>
                </c:pt>
                <c:pt idx="16">
                  <c:v>5241.9799999999996</c:v>
                </c:pt>
                <c:pt idx="18">
                  <c:v>5900.27</c:v>
                </c:pt>
                <c:pt idx="19">
                  <c:v>774.12</c:v>
                </c:pt>
                <c:pt idx="20">
                  <c:v>7418.75</c:v>
                </c:pt>
                <c:pt idx="23">
                  <c:v>2363.67</c:v>
                </c:pt>
              </c:numCache>
            </c:numRef>
          </c:val>
          <c:extLst>
            <c:ext xmlns:c16="http://schemas.microsoft.com/office/drawing/2014/chart" uri="{C3380CC4-5D6E-409C-BE32-E72D297353CC}">
              <c16:uniqueId val="{00000019-9810-4BAA-B506-9059174A66E8}"/>
            </c:ext>
          </c:extLst>
        </c:ser>
        <c:ser>
          <c:idx val="5"/>
          <c:order val="5"/>
          <c:tx>
            <c:strRef>
              <c:f>'01_Cost of Living'!$AG$64:$AG$65</c:f>
              <c:strCache>
                <c:ptCount val="1"/>
                <c:pt idx="0">
                  <c:v>South America</c:v>
                </c:pt>
              </c:strCache>
            </c:strRef>
          </c:tx>
          <c:spPr>
            <a:solidFill>
              <a:schemeClr val="accent6"/>
            </a:solidFill>
            <a:ln>
              <a:noFill/>
            </a:ln>
            <a:effectLst/>
          </c:spPr>
          <c:invertIfNegative val="0"/>
          <c:cat>
            <c:strRef>
              <c:f>'01_Cost of Living'!$AA$66:$AA$90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Living'!$AG$66:$AG$90</c:f>
              <c:numCache>
                <c:formatCode>General</c:formatCode>
                <c:ptCount val="24"/>
                <c:pt idx="0">
                  <c:v>1859.25</c:v>
                </c:pt>
                <c:pt idx="4">
                  <c:v>4483.6049999999996</c:v>
                </c:pt>
                <c:pt idx="5">
                  <c:v>6521.4</c:v>
                </c:pt>
                <c:pt idx="7">
                  <c:v>7079</c:v>
                </c:pt>
                <c:pt idx="9">
                  <c:v>3491.6666666666665</c:v>
                </c:pt>
                <c:pt idx="10">
                  <c:v>4808.55</c:v>
                </c:pt>
                <c:pt idx="12">
                  <c:v>3065.61</c:v>
                </c:pt>
                <c:pt idx="15">
                  <c:v>3232.186666666667</c:v>
                </c:pt>
                <c:pt idx="16">
                  <c:v>6218.44</c:v>
                </c:pt>
                <c:pt idx="20">
                  <c:v>3565.51</c:v>
                </c:pt>
                <c:pt idx="21">
                  <c:v>7976.56</c:v>
                </c:pt>
              </c:numCache>
            </c:numRef>
          </c:val>
          <c:extLst>
            <c:ext xmlns:c16="http://schemas.microsoft.com/office/drawing/2014/chart" uri="{C3380CC4-5D6E-409C-BE32-E72D297353CC}">
              <c16:uniqueId val="{0000001A-9810-4BAA-B506-9059174A66E8}"/>
            </c:ext>
          </c:extLst>
        </c:ser>
        <c:dLbls>
          <c:showLegendKey val="0"/>
          <c:showVal val="0"/>
          <c:showCatName val="0"/>
          <c:showSerName val="0"/>
          <c:showPercent val="0"/>
          <c:showBubbleSize val="0"/>
        </c:dLbls>
        <c:gapWidth val="150"/>
        <c:overlap val="100"/>
        <c:axId val="845497400"/>
        <c:axId val="845497760"/>
      </c:barChart>
      <c:catAx>
        <c:axId val="8454974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45497760"/>
        <c:crosses val="autoZero"/>
        <c:auto val="1"/>
        <c:lblAlgn val="ctr"/>
        <c:lblOffset val="100"/>
        <c:noMultiLvlLbl val="0"/>
      </c:catAx>
      <c:valAx>
        <c:axId val="8454977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454974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[MIS311_Portfolio_Nguyen Vinh Thang.xlsx]01_Cost of Living!PivotTable6</c:name>
    <c:fmtId val="0"/>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'01_Cost of Living'!$K$65:$K$66</c:f>
              <c:strCache>
                <c:ptCount val="1"/>
                <c:pt idx="0">
                  <c:v>Africa</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Living'!$K$67:$K$91</c:f>
              <c:numCache>
                <c:formatCode>General</c:formatCode>
                <c:ptCount val="24"/>
                <c:pt idx="0">
                  <c:v>6794.59</c:v>
                </c:pt>
                <c:pt idx="3">
                  <c:v>2592.4433333333332</c:v>
                </c:pt>
                <c:pt idx="4">
                  <c:v>4242.33</c:v>
                </c:pt>
                <c:pt idx="6">
                  <c:v>5663.89</c:v>
                </c:pt>
                <c:pt idx="10">
                  <c:v>6305.79</c:v>
                </c:pt>
                <c:pt idx="11">
                  <c:v>3396.18</c:v>
                </c:pt>
                <c:pt idx="12">
                  <c:v>6811.21</c:v>
                </c:pt>
                <c:pt idx="13">
                  <c:v>5691.41</c:v>
                </c:pt>
                <c:pt idx="15">
                  <c:v>6579</c:v>
                </c:pt>
                <c:pt idx="18">
                  <c:v>464.49</c:v>
                </c:pt>
                <c:pt idx="19">
                  <c:v>619.14</c:v>
                </c:pt>
                <c:pt idx="20">
                  <c:v>5488.08</c:v>
                </c:pt>
                <c:pt idx="22">
                  <c:v>2355.665</c:v>
                </c:pt>
              </c:numCache>
            </c:numRef>
          </c:val>
          <c:extLst>
            <c:ext xmlns:c16="http://schemas.microsoft.com/office/drawing/2014/chart" uri="{C3380CC4-5D6E-409C-BE32-E72D297353CC}">
              <c16:uniqueId val="{00000000-D8C5-41FE-A209-782FB6754402}"/>
            </c:ext>
          </c:extLst>
        </c:ser>
        <c:ser>
          <c:idx val="1"/>
          <c:order val="1"/>
          <c:tx>
            <c:strRef>
              <c:f>'01_Cost of Living'!$L$65:$L$66</c:f>
              <c:strCache>
                <c:ptCount val="1"/>
                <c:pt idx="0">
                  <c:v>Asia</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Living'!$L$67:$L$91</c:f>
              <c:numCache>
                <c:formatCode>General</c:formatCode>
                <c:ptCount val="24"/>
                <c:pt idx="0">
                  <c:v>3972.0249999999996</c:v>
                </c:pt>
                <c:pt idx="1">
                  <c:v>4010.6149999999998</c:v>
                </c:pt>
                <c:pt idx="2">
                  <c:v>3576.4116666666669</c:v>
                </c:pt>
                <c:pt idx="4">
                  <c:v>3688.09</c:v>
                </c:pt>
                <c:pt idx="6">
                  <c:v>1169.8233333333335</c:v>
                </c:pt>
                <c:pt idx="7">
                  <c:v>5114.6049999999996</c:v>
                </c:pt>
                <c:pt idx="8">
                  <c:v>2216.8233333333333</c:v>
                </c:pt>
                <c:pt idx="10">
                  <c:v>4533.05</c:v>
                </c:pt>
                <c:pt idx="11">
                  <c:v>2829.2650000000003</c:v>
                </c:pt>
                <c:pt idx="12">
                  <c:v>4320.0050000000001</c:v>
                </c:pt>
                <c:pt idx="13">
                  <c:v>6894.25</c:v>
                </c:pt>
                <c:pt idx="14">
                  <c:v>3202.4949999999999</c:v>
                </c:pt>
                <c:pt idx="16">
                  <c:v>3438.1800000000003</c:v>
                </c:pt>
                <c:pt idx="17">
                  <c:v>5498.2950000000001</c:v>
                </c:pt>
                <c:pt idx="18">
                  <c:v>1972.94</c:v>
                </c:pt>
                <c:pt idx="19">
                  <c:v>2601.56</c:v>
                </c:pt>
                <c:pt idx="20">
                  <c:v>6476.2000000000007</c:v>
                </c:pt>
                <c:pt idx="21">
                  <c:v>3495.73</c:v>
                </c:pt>
                <c:pt idx="22">
                  <c:v>5484.69</c:v>
                </c:pt>
                <c:pt idx="23">
                  <c:v>1226.23</c:v>
                </c:pt>
              </c:numCache>
            </c:numRef>
          </c:val>
          <c:extLst>
            <c:ext xmlns:c16="http://schemas.microsoft.com/office/drawing/2014/chart" uri="{C3380CC4-5D6E-409C-BE32-E72D297353CC}">
              <c16:uniqueId val="{0000000A-D8C5-41FE-A209-782FB6754402}"/>
            </c:ext>
          </c:extLst>
        </c:ser>
        <c:ser>
          <c:idx val="2"/>
          <c:order val="2"/>
          <c:tx>
            <c:strRef>
              <c:f>'01_Cost of Living'!$M$65:$M$66</c:f>
              <c:strCache>
                <c:ptCount val="1"/>
                <c:pt idx="0">
                  <c:v>Europe</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Living'!$M$67:$M$91</c:f>
              <c:numCache>
                <c:formatCode>General</c:formatCode>
                <c:ptCount val="24"/>
                <c:pt idx="0">
                  <c:v>4940.05</c:v>
                </c:pt>
                <c:pt idx="1">
                  <c:v>3101.6</c:v>
                </c:pt>
                <c:pt idx="2">
                  <c:v>2203.5100000000002</c:v>
                </c:pt>
                <c:pt idx="3">
                  <c:v>2646.835</c:v>
                </c:pt>
                <c:pt idx="4">
                  <c:v>1765.5933333333332</c:v>
                </c:pt>
                <c:pt idx="5">
                  <c:v>5213.1499999999996</c:v>
                </c:pt>
                <c:pt idx="6">
                  <c:v>2100.71</c:v>
                </c:pt>
                <c:pt idx="7">
                  <c:v>6840.71</c:v>
                </c:pt>
                <c:pt idx="8">
                  <c:v>4040.2566666666667</c:v>
                </c:pt>
                <c:pt idx="9">
                  <c:v>4364.1350000000002</c:v>
                </c:pt>
                <c:pt idx="11">
                  <c:v>3180.0150000000003</c:v>
                </c:pt>
                <c:pt idx="12">
                  <c:v>4334.5199999999995</c:v>
                </c:pt>
                <c:pt idx="14">
                  <c:v>6038.94</c:v>
                </c:pt>
                <c:pt idx="15">
                  <c:v>1092.54</c:v>
                </c:pt>
                <c:pt idx="16">
                  <c:v>3833.66</c:v>
                </c:pt>
                <c:pt idx="17">
                  <c:v>3697.0066666666667</c:v>
                </c:pt>
                <c:pt idx="18">
                  <c:v>6825.03</c:v>
                </c:pt>
                <c:pt idx="19">
                  <c:v>2205.94</c:v>
                </c:pt>
                <c:pt idx="20">
                  <c:v>2617.96</c:v>
                </c:pt>
                <c:pt idx="21">
                  <c:v>4889.51</c:v>
                </c:pt>
                <c:pt idx="22">
                  <c:v>1593.8500000000001</c:v>
                </c:pt>
                <c:pt idx="23">
                  <c:v>3252.3850000000002</c:v>
                </c:pt>
              </c:numCache>
            </c:numRef>
          </c:val>
          <c:extLst>
            <c:ext xmlns:c16="http://schemas.microsoft.com/office/drawing/2014/chart" uri="{C3380CC4-5D6E-409C-BE32-E72D297353CC}">
              <c16:uniqueId val="{0000000B-D8C5-41FE-A209-782FB6754402}"/>
            </c:ext>
          </c:extLst>
        </c:ser>
        <c:ser>
          <c:idx val="3"/>
          <c:order val="3"/>
          <c:tx>
            <c:strRef>
              <c:f>'01_Cost of Living'!$N$65:$N$66</c:f>
              <c:strCache>
                <c:ptCount val="1"/>
                <c:pt idx="0">
                  <c:v>North America</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Living'!$N$67:$N$91</c:f>
              <c:numCache>
                <c:formatCode>General</c:formatCode>
                <c:ptCount val="24"/>
                <c:pt idx="0">
                  <c:v>5681.88</c:v>
                </c:pt>
                <c:pt idx="1">
                  <c:v>4828.6100000000006</c:v>
                </c:pt>
                <c:pt idx="2">
                  <c:v>3336.6533333333332</c:v>
                </c:pt>
                <c:pt idx="3">
                  <c:v>4403.634</c:v>
                </c:pt>
                <c:pt idx="4">
                  <c:v>2418.31</c:v>
                </c:pt>
                <c:pt idx="5">
                  <c:v>5146.7299999999996</c:v>
                </c:pt>
                <c:pt idx="6">
                  <c:v>3960.2533333333336</c:v>
                </c:pt>
                <c:pt idx="7">
                  <c:v>3183.36</c:v>
                </c:pt>
                <c:pt idx="8">
                  <c:v>2859.0749999999998</c:v>
                </c:pt>
                <c:pt idx="9">
                  <c:v>3160.9349999999999</c:v>
                </c:pt>
                <c:pt idx="10">
                  <c:v>2478.91</c:v>
                </c:pt>
                <c:pt idx="11">
                  <c:v>3883.8900000000008</c:v>
                </c:pt>
                <c:pt idx="12">
                  <c:v>5422.76</c:v>
                </c:pt>
                <c:pt idx="13">
                  <c:v>2714.14</c:v>
                </c:pt>
                <c:pt idx="15">
                  <c:v>2644.3049999999998</c:v>
                </c:pt>
                <c:pt idx="16">
                  <c:v>2587.4449999999997</c:v>
                </c:pt>
                <c:pt idx="18">
                  <c:v>6404.5133333333333</c:v>
                </c:pt>
                <c:pt idx="19">
                  <c:v>2136.625</c:v>
                </c:pt>
                <c:pt idx="20">
                  <c:v>5079.8</c:v>
                </c:pt>
                <c:pt idx="21">
                  <c:v>1997.5</c:v>
                </c:pt>
                <c:pt idx="22">
                  <c:v>2166.605</c:v>
                </c:pt>
                <c:pt idx="23">
                  <c:v>4954.8499999999995</c:v>
                </c:pt>
              </c:numCache>
            </c:numRef>
          </c:val>
          <c:extLst>
            <c:ext xmlns:c16="http://schemas.microsoft.com/office/drawing/2014/chart" uri="{C3380CC4-5D6E-409C-BE32-E72D297353CC}">
              <c16:uniqueId val="{0000000C-D8C5-41FE-A209-782FB6754402}"/>
            </c:ext>
          </c:extLst>
        </c:ser>
        <c:ser>
          <c:idx val="4"/>
          <c:order val="4"/>
          <c:tx>
            <c:strRef>
              <c:f>'01_Cost of Living'!$O$65:$O$66</c:f>
              <c:strCache>
                <c:ptCount val="1"/>
                <c:pt idx="0">
                  <c:v>Oceania</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Living'!$O$67:$O$91</c:f>
              <c:numCache>
                <c:formatCode>General</c:formatCode>
                <c:ptCount val="24"/>
                <c:pt idx="0">
                  <c:v>1716.98</c:v>
                </c:pt>
                <c:pt idx="3">
                  <c:v>6585.71</c:v>
                </c:pt>
                <c:pt idx="4">
                  <c:v>4478.3500000000004</c:v>
                </c:pt>
                <c:pt idx="5">
                  <c:v>1585.91</c:v>
                </c:pt>
                <c:pt idx="6">
                  <c:v>5185.13</c:v>
                </c:pt>
                <c:pt idx="9">
                  <c:v>6388.1350000000002</c:v>
                </c:pt>
                <c:pt idx="11">
                  <c:v>1720.99</c:v>
                </c:pt>
                <c:pt idx="12">
                  <c:v>3187.6933333333332</c:v>
                </c:pt>
                <c:pt idx="13">
                  <c:v>3629.92</c:v>
                </c:pt>
                <c:pt idx="15">
                  <c:v>4575.3</c:v>
                </c:pt>
                <c:pt idx="16">
                  <c:v>602.30999999999995</c:v>
                </c:pt>
                <c:pt idx="18">
                  <c:v>1340.47</c:v>
                </c:pt>
                <c:pt idx="19">
                  <c:v>6344.63</c:v>
                </c:pt>
                <c:pt idx="20">
                  <c:v>5062.74</c:v>
                </c:pt>
                <c:pt idx="23">
                  <c:v>2448.39</c:v>
                </c:pt>
              </c:numCache>
            </c:numRef>
          </c:val>
          <c:extLst>
            <c:ext xmlns:c16="http://schemas.microsoft.com/office/drawing/2014/chart" uri="{C3380CC4-5D6E-409C-BE32-E72D297353CC}">
              <c16:uniqueId val="{0000000D-D8C5-41FE-A209-782FB6754402}"/>
            </c:ext>
          </c:extLst>
        </c:ser>
        <c:ser>
          <c:idx val="5"/>
          <c:order val="5"/>
          <c:tx>
            <c:strRef>
              <c:f>'01_Cost of Living'!$P$65:$P$66</c:f>
              <c:strCache>
                <c:ptCount val="1"/>
                <c:pt idx="0">
                  <c:v>South America</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'01_Cost of Living'!$J$67:$J$91</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'01_Cost of Living'!$P$67:$P$91</c:f>
              <c:numCache>
                <c:formatCode>General</c:formatCode>
                <c:ptCount val="24"/>
                <c:pt idx="0">
                  <c:v>1396.98</c:v>
                </c:pt>
                <c:pt idx="4">
                  <c:v>3795.42</c:v>
                </c:pt>
                <c:pt idx="5">
                  <c:v>2030.88</c:v>
                </c:pt>
                <c:pt idx="7">
                  <c:v>2832.27</c:v>
                </c:pt>
                <c:pt idx="9">
                  <c:v>5484.8566666666666</c:v>
                </c:pt>
                <c:pt idx="10">
                  <c:v>3170.2</c:v>
                </c:pt>
                <c:pt idx="12">
                  <c:v>4360.1400000000003</c:v>
                </c:pt>
                <c:pt idx="15">
                  <c:v>3345.3366666666666</c:v>
                </c:pt>
                <c:pt idx="16">
                  <c:v>2990.46</c:v>
                </c:pt>
                <c:pt idx="20">
                  <c:v>3649.03</c:v>
                </c:pt>
                <c:pt idx="21">
                  <c:v>2848.86</c:v>
                </c:pt>
              </c:numCache>
            </c:numRef>
          </c:val>
          <c:extLst>
            <c:ext xmlns:c16="http://schemas.microsoft.com/office/drawing/2014/chart" uri="{C3380CC4-5D6E-409C-BE32-E72D297353CC}">
              <c16:uniqueId val="{0000000E-D8C5-41FE-A209-782FB6754402}"/>
            </c:ext>
          </c:extLst>
        </c:ser>
        <c:dLbls>
          <c:showLegendKey val="0"/>
          <c:showVal val="0"/>
          <c:showCatName val="0"/>
          <c:showSerName val="0"/>
          <c:showPercent val="0"/>
          <c:showBubbleSize val="0"/>
        </c:dLbls>
        <c:gapWidth val="150"/>
        <c:overlap val="100"/>
        <c:axId val="634998728"/>
        <c:axId val="635001248"/>
      </c:barChart>
      <c:catAx>
        <c:axId val="63499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5001248"/>
        <c:crosses val="autoZero"/>
        <c:auto val="1"/>
        <c:lblAlgn val="ctr"/>
        <c:lblOffset val="100"/>
        <c:noMultiLvlLbl val="0"/>
      </c:catAx>
      <c:valAx>
        <c:axId val="63500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4998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7620</xdr:colOff>
      <xdr:row>0</xdr:row>
      <xdr:rowOff>175260</xdr:rowOff>
    </xdr:from>
    <xdr:to>
      <xdr:col>15</xdr:col>
      <xdr:colOff>601980</xdr:colOff>
      <xdr:row>12</xdr:row>
      <xdr:rowOff>0</xdr:rowOff>
    </xdr:to>
    <xdr:sp macro="" textlink="">
      <xdr:nvSpPr>
        <xdr:cNvPr id="2" name="TextBox 1">
          <a:extLst>
            <a:ext uri="{FF2B5EF4-FFF2-40B4-BE49-F238E27FC236}">
              <a16:creationId xmlns:a16="http://schemas.microsoft.com/office/drawing/2014/main" id="{059119C2-875A-CC07-F901-E493C4C58A88}"/>
            </a:ext>
          </a:extLst>
        </xdr:cNvPr>
        <xdr:cNvSpPr txBox="1"/>
      </xdr:nvSpPr>
      <xdr:spPr>
        <a:xfrm>
          <a:off x="8366760" y="175260"/>
          <a:ext cx="4251960" cy="201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brief</a:t>
          </a:r>
          <a:r>
            <a:rPr lang="en-US" sz="1100" baseline="0"/>
            <a:t> description of the dataset:  the data set is presenting the monthyly income and cost of living  of 6 regions around the worlld, including Africa, Asia, Europe, North America, Oceani, South America from 2000 to 2023.  </a:t>
          </a:r>
        </a:p>
        <a:p>
          <a:endParaRPr lang="en-US" sz="1100" baseline="0"/>
        </a:p>
        <a:p>
          <a:r>
            <a:rPr lang="en-US" sz="1100" baseline="0"/>
            <a:t>2 insights from analytics are: </a:t>
          </a:r>
        </a:p>
        <a:p>
          <a:r>
            <a:rPr lang="en-US" sz="1100" baseline="0"/>
            <a:t>	1.  Africa is the one has the highest average monthly income compared to others regions such as South America, or Norrth America.  Maybe, the number of  high income countries in this region emerge  more frequently than low income counties, which is believed to lead to the explosion in average income of this region.</a:t>
          </a:r>
        </a:p>
        <a:p>
          <a:r>
            <a:rPr lang="en-US" sz="1100" baseline="0"/>
            <a:t>	2. Generally, income of regions is fluctuated, even it shows a decreasing trend from 2000 to 2023. Maybe, because  nowadays, it's harder to find job or people have to pay more taxes.</a:t>
          </a:r>
          <a:endParaRPr lang="en-US" sz="1100"/>
        </a:p>
      </xdr:txBody>
    </xdr:sp>
    <xdr:clientData/>
  </xdr:twoCellAnchor>
  <xdr:twoCellAnchor>
    <xdr:from>
      <xdr:col>13</xdr:col>
      <xdr:colOff>202789</xdr:colOff>
      <xdr:row>29</xdr:row>
      <xdr:rowOff>158547</xdr:rowOff>
    </xdr:from>
    <xdr:to>
      <xdr:col>23</xdr:col>
      <xdr:colOff>227370</xdr:colOff>
      <xdr:row>44</xdr:row>
      <xdr:rowOff>136424</xdr:rowOff>
    </xdr:to>
    <xdr:graphicFrame macro="">
      <xdr:nvGraphicFramePr>
        <xdr:cNvPr id="3" name="Chart 2">
          <a:extLst>
            <a:ext uri="{FF2B5EF4-FFF2-40B4-BE49-F238E27FC236}">
              <a16:creationId xmlns:a16="http://schemas.microsoft.com/office/drawing/2014/main" id="{A7FFF2A3-0B74-91F7-2186-1B0EF3A9F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153629</xdr:colOff>
      <xdr:row>47</xdr:row>
      <xdr:rowOff>11061</xdr:rowOff>
    </xdr:from>
    <xdr:to>
      <xdr:col>23</xdr:col>
      <xdr:colOff>178209</xdr:colOff>
      <xdr:row>61</xdr:row>
      <xdr:rowOff>173293</xdr:rowOff>
    </xdr:to>
    <xdr:graphicFrame macro="">
      <xdr:nvGraphicFramePr>
        <xdr:cNvPr id="4" name="Chart 3">
          <a:extLst>
            <a:ext uri="{FF2B5EF4-FFF2-40B4-BE49-F238E27FC236}">
              <a16:creationId xmlns:a16="http://schemas.microsoft.com/office/drawing/2014/main" id="{2BE24B9E-04A8-CDF8-9AAB-C3F6C6693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32541</xdr:colOff>
      <xdr:row>91</xdr:row>
      <xdr:rowOff>48638</xdr:rowOff>
    </xdr:from>
    <xdr:to>
      <xdr:col>34</xdr:col>
      <xdr:colOff>32424</xdr:colOff>
      <xdr:row>128</xdr:row>
      <xdr:rowOff>129702</xdr:rowOff>
    </xdr:to>
    <xdr:graphicFrame macro="">
      <xdr:nvGraphicFramePr>
        <xdr:cNvPr id="7" name="Chart 6">
          <a:extLst>
            <a:ext uri="{FF2B5EF4-FFF2-40B4-BE49-F238E27FC236}">
              <a16:creationId xmlns:a16="http://schemas.microsoft.com/office/drawing/2014/main" id="{2B0751AE-BE61-73E6-CDBD-2B686F00D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46652</xdr:colOff>
      <xdr:row>91</xdr:row>
      <xdr:rowOff>160175</xdr:rowOff>
    </xdr:from>
    <xdr:to>
      <xdr:col>17</xdr:col>
      <xdr:colOff>31101</xdr:colOff>
      <xdr:row>129</xdr:row>
      <xdr:rowOff>62204</xdr:rowOff>
    </xdr:to>
    <xdr:graphicFrame macro="">
      <xdr:nvGraphicFramePr>
        <xdr:cNvPr id="9" name="Chart 8">
          <a:extLst>
            <a:ext uri="{FF2B5EF4-FFF2-40B4-BE49-F238E27FC236}">
              <a16:creationId xmlns:a16="http://schemas.microsoft.com/office/drawing/2014/main" id="{29EF17CA-642B-4D5F-DC09-945D9BD0D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ta" refreshedDate="46045.384948032406" createdVersion="8" refreshedVersion="8" minRefreshableVersion="3" recordCount="199" xr:uid="{96D1A1FF-CB14-4D5A-9C72-868C9658B08C}">
  <cacheSource type="worksheet">
    <worksheetSource ref="A1:E200" sheet="01_Cost of Living"/>
  </cacheSource>
  <cacheFields count="5">
    <cacheField name="Country" numFmtId="0">
      <sharedItems/>
    </cacheField>
    <cacheField name="Year" numFmtId="0">
      <sharedItems containsSemiMixedTypes="0" containsString="0" containsNumber="1" containsInteger="1" minValue="2000" maxValue="2023" count="24">
        <n v="2013"/>
        <n v="2019"/>
        <n v="2004"/>
        <n v="2011"/>
        <n v="2015"/>
        <n v="2020"/>
        <n v="2006"/>
        <n v="2003"/>
        <n v="2000"/>
        <n v="2022"/>
        <n v="2009"/>
        <n v="2021"/>
        <n v="2001"/>
        <n v="2018"/>
        <n v="2023"/>
        <n v="2012"/>
        <n v="2016"/>
        <n v="2017"/>
        <n v="2002"/>
        <n v="2010"/>
        <n v="2007"/>
        <n v="2008"/>
        <n v="2014"/>
        <n v="2005"/>
      </sharedItems>
    </cacheField>
    <cacheField name="Average_Monthly_Income" numFmtId="0">
      <sharedItems containsSemiMixedTypes="0" containsString="0" containsNumber="1" minValue="534.74" maxValue="7976.56"/>
    </cacheField>
    <cacheField name="Cost_of_Living" numFmtId="0">
      <sharedItems containsSemiMixedTypes="0" containsString="0" containsNumber="1" minValue="464.49" maxValue="6981.02"/>
    </cacheField>
    <cacheField name="Region" numFmtId="0">
      <sharedItems count="6">
        <s v="Oceania"/>
        <s v="Asia"/>
        <s v="Europe"/>
        <s v="Africa"/>
        <s v="South Americ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Australia"/>
    <x v="0"/>
    <n v="3483.92"/>
    <n v="1106.07"/>
    <x v="0"/>
  </r>
  <r>
    <s v="India"/>
    <x v="1"/>
    <n v="7771.03"/>
    <n v="5422.78"/>
    <x v="1"/>
  </r>
  <r>
    <s v="Russia"/>
    <x v="2"/>
    <n v="6991.3"/>
    <n v="3972.36"/>
    <x v="2"/>
  </r>
  <r>
    <s v="South Africa"/>
    <x v="3"/>
    <n v="6628.04"/>
    <n v="6755.75"/>
    <x v="3"/>
  </r>
  <r>
    <s v="Brazil"/>
    <x v="4"/>
    <n v="2434.27"/>
    <n v="2656.36"/>
    <x v="4"/>
  </r>
  <r>
    <s v="Australia"/>
    <x v="4"/>
    <n v="1781.66"/>
    <n v="4575.3"/>
    <x v="0"/>
  </r>
  <r>
    <s v="China"/>
    <x v="5"/>
    <n v="5514.82"/>
    <n v="6551.39"/>
    <x v="1"/>
  </r>
  <r>
    <s v="Japan"/>
    <x v="6"/>
    <n v="7470.32"/>
    <n v="1076.56"/>
    <x v="1"/>
  </r>
  <r>
    <s v="Australia"/>
    <x v="7"/>
    <n v="4675.72"/>
    <n v="6585.71"/>
    <x v="0"/>
  </r>
  <r>
    <s v="Russia"/>
    <x v="8"/>
    <n v="4787.1000000000004"/>
    <n v="4940.05"/>
    <x v="2"/>
  </r>
  <r>
    <s v="Russia"/>
    <x v="2"/>
    <n v="2599.84"/>
    <n v="847.72"/>
    <x v="2"/>
  </r>
  <r>
    <s v="South Africa"/>
    <x v="9"/>
    <n v="6271.2"/>
    <n v="2386.36"/>
    <x v="3"/>
  </r>
  <r>
    <s v="Brazil"/>
    <x v="10"/>
    <n v="1902.83"/>
    <n v="5073.9399999999996"/>
    <x v="4"/>
  </r>
  <r>
    <s v="India"/>
    <x v="11"/>
    <n v="2927.59"/>
    <n v="844.51"/>
    <x v="1"/>
  </r>
  <r>
    <s v="South Africa"/>
    <x v="2"/>
    <n v="3690.77"/>
    <n v="4242.33"/>
    <x v="3"/>
  </r>
  <r>
    <s v="South Africa"/>
    <x v="7"/>
    <n v="4307.08"/>
    <n v="2682.83"/>
    <x v="3"/>
  </r>
  <r>
    <s v="Japan"/>
    <x v="12"/>
    <n v="2318.0700000000002"/>
    <n v="4498.04"/>
    <x v="1"/>
  </r>
  <r>
    <s v="Canada"/>
    <x v="1"/>
    <n v="1361.28"/>
    <n v="701.9"/>
    <x v="5"/>
  </r>
  <r>
    <s v="Brazil"/>
    <x v="10"/>
    <n v="5079.6499999999996"/>
    <n v="6152.14"/>
    <x v="4"/>
  </r>
  <r>
    <s v="Germany"/>
    <x v="13"/>
    <n v="2664.73"/>
    <n v="6825.03"/>
    <x v="2"/>
  </r>
  <r>
    <s v="South Africa"/>
    <x v="8"/>
    <n v="4859.29"/>
    <n v="6794.59"/>
    <x v="3"/>
  </r>
  <r>
    <s v="Mexico"/>
    <x v="14"/>
    <n v="1657.72"/>
    <n v="5347.7"/>
    <x v="5"/>
  </r>
  <r>
    <s v="Canada"/>
    <x v="2"/>
    <n v="4108.55"/>
    <n v="1258.57"/>
    <x v="5"/>
  </r>
  <r>
    <s v="Germany"/>
    <x v="15"/>
    <n v="4494.42"/>
    <n v="5404.54"/>
    <x v="2"/>
  </r>
  <r>
    <s v="Mexico"/>
    <x v="7"/>
    <n v="888.68"/>
    <n v="562.27"/>
    <x v="5"/>
  </r>
  <r>
    <s v="Brazil"/>
    <x v="4"/>
    <n v="3024.53"/>
    <n v="546.02"/>
    <x v="4"/>
  </r>
  <r>
    <s v="United States"/>
    <x v="14"/>
    <n v="1508.11"/>
    <n v="2535.83"/>
    <x v="5"/>
  </r>
  <r>
    <s v="Mexico"/>
    <x v="4"/>
    <n v="975.31"/>
    <n v="3625.05"/>
    <x v="5"/>
  </r>
  <r>
    <s v="China"/>
    <x v="9"/>
    <n v="7924.7"/>
    <n v="5484.69"/>
    <x v="1"/>
  </r>
  <r>
    <s v="Canada"/>
    <x v="12"/>
    <n v="2917.65"/>
    <n v="4909.75"/>
    <x v="5"/>
  </r>
  <r>
    <s v="Mexico"/>
    <x v="16"/>
    <n v="6574.06"/>
    <n v="3342.96"/>
    <x v="5"/>
  </r>
  <r>
    <s v="France"/>
    <x v="1"/>
    <n v="2409.8000000000002"/>
    <n v="2205.94"/>
    <x v="2"/>
  </r>
  <r>
    <s v="United States"/>
    <x v="14"/>
    <n v="5611.27"/>
    <n v="6981.02"/>
    <x v="5"/>
  </r>
  <r>
    <s v="Russia"/>
    <x v="3"/>
    <n v="6201.71"/>
    <n v="3212.8"/>
    <x v="2"/>
  </r>
  <r>
    <s v="Russia"/>
    <x v="17"/>
    <n v="4967.29"/>
    <n v="3379.15"/>
    <x v="2"/>
  </r>
  <r>
    <s v="China"/>
    <x v="18"/>
    <n v="4036.82"/>
    <n v="1479.92"/>
    <x v="1"/>
  </r>
  <r>
    <s v="Mexico"/>
    <x v="8"/>
    <n v="3588.81"/>
    <n v="5645.74"/>
    <x v="5"/>
  </r>
  <r>
    <s v="Mexico"/>
    <x v="8"/>
    <n v="3116.51"/>
    <n v="4978.3"/>
    <x v="5"/>
  </r>
  <r>
    <s v="Japan"/>
    <x v="13"/>
    <n v="7471.47"/>
    <n v="1857.08"/>
    <x v="1"/>
  </r>
  <r>
    <s v="Mexico"/>
    <x v="19"/>
    <n v="6729.65"/>
    <n v="943.71"/>
    <x v="5"/>
  </r>
  <r>
    <s v="Australia"/>
    <x v="2"/>
    <n v="7737.7"/>
    <n v="4891.3"/>
    <x v="0"/>
  </r>
  <r>
    <s v="India"/>
    <x v="3"/>
    <n v="1432.23"/>
    <n v="4719.7700000000004"/>
    <x v="1"/>
  </r>
  <r>
    <s v="France"/>
    <x v="18"/>
    <n v="5981.51"/>
    <n v="2203.5100000000002"/>
    <x v="2"/>
  </r>
  <r>
    <s v="Japan"/>
    <x v="8"/>
    <n v="7537.55"/>
    <n v="6675.7"/>
    <x v="1"/>
  </r>
  <r>
    <s v="Brazil"/>
    <x v="8"/>
    <n v="1859.25"/>
    <n v="1396.98"/>
    <x v="4"/>
  </r>
  <r>
    <s v="Japan"/>
    <x v="20"/>
    <n v="998.72"/>
    <n v="3253.41"/>
    <x v="1"/>
  </r>
  <r>
    <s v="Australia"/>
    <x v="10"/>
    <n v="6058.4"/>
    <n v="6627.87"/>
    <x v="0"/>
  </r>
  <r>
    <s v="Brazil"/>
    <x v="19"/>
    <n v="4808.55"/>
    <n v="3170.2"/>
    <x v="4"/>
  </r>
  <r>
    <s v="France"/>
    <x v="3"/>
    <n v="6813.72"/>
    <n v="4614.2700000000004"/>
    <x v="2"/>
  </r>
  <r>
    <s v="Australia"/>
    <x v="15"/>
    <n v="1548.29"/>
    <n v="3024.12"/>
    <x v="0"/>
  </r>
  <r>
    <s v="Germany"/>
    <x v="3"/>
    <n v="6464.5"/>
    <n v="2209.8200000000002"/>
    <x v="2"/>
  </r>
  <r>
    <s v="India"/>
    <x v="0"/>
    <n v="2012.2"/>
    <n v="6894.25"/>
    <x v="1"/>
  </r>
  <r>
    <s v="France"/>
    <x v="12"/>
    <n v="1727.42"/>
    <n v="3101.6"/>
    <x v="2"/>
  </r>
  <r>
    <s v="Mexico"/>
    <x v="13"/>
    <n v="1731.99"/>
    <n v="6301.05"/>
    <x v="5"/>
  </r>
  <r>
    <s v="Germany"/>
    <x v="17"/>
    <n v="6609.31"/>
    <n v="1917.7"/>
    <x v="2"/>
  </r>
  <r>
    <s v="China"/>
    <x v="18"/>
    <n v="5488.98"/>
    <n v="1806.49"/>
    <x v="1"/>
  </r>
  <r>
    <s v="France"/>
    <x v="9"/>
    <n v="4422.99"/>
    <n v="605.48"/>
    <x v="2"/>
  </r>
  <r>
    <s v="China"/>
    <x v="16"/>
    <n v="3191.23"/>
    <n v="4701"/>
    <x v="1"/>
  </r>
  <r>
    <s v="Brazil"/>
    <x v="20"/>
    <n v="7079"/>
    <n v="2832.27"/>
    <x v="4"/>
  </r>
  <r>
    <s v="Germany"/>
    <x v="10"/>
    <n v="3443.34"/>
    <n v="6104.76"/>
    <x v="2"/>
  </r>
  <r>
    <s v="India"/>
    <x v="12"/>
    <n v="6624.5"/>
    <n v="3523.19"/>
    <x v="1"/>
  </r>
  <r>
    <s v="Mexico"/>
    <x v="13"/>
    <n v="3793.51"/>
    <n v="6790.08"/>
    <x v="5"/>
  </r>
  <r>
    <s v="Mexico"/>
    <x v="21"/>
    <n v="3327.08"/>
    <n v="1624.47"/>
    <x v="5"/>
  </r>
  <r>
    <s v="Australia"/>
    <x v="6"/>
    <n v="3970.1"/>
    <n v="6132.91"/>
    <x v="0"/>
  </r>
  <r>
    <s v="Mexico"/>
    <x v="7"/>
    <n v="2760.33"/>
    <n v="5525.54"/>
    <x v="5"/>
  </r>
  <r>
    <s v="South Africa"/>
    <x v="5"/>
    <n v="6107.07"/>
    <n v="5488.08"/>
    <x v="3"/>
  </r>
  <r>
    <s v="Japan"/>
    <x v="17"/>
    <n v="4270.3999999999996"/>
    <n v="5975.57"/>
    <x v="1"/>
  </r>
  <r>
    <s v="United States"/>
    <x v="15"/>
    <n v="2241.6"/>
    <n v="5422.76"/>
    <x v="5"/>
  </r>
  <r>
    <s v="India"/>
    <x v="19"/>
    <n v="7246.81"/>
    <n v="4533.05"/>
    <x v="1"/>
  </r>
  <r>
    <s v="Germany"/>
    <x v="14"/>
    <n v="3379.18"/>
    <n v="1266.22"/>
    <x v="2"/>
  </r>
  <r>
    <s v="South Africa"/>
    <x v="7"/>
    <n v="4576.6499999999996"/>
    <n v="614.66999999999996"/>
    <x v="3"/>
  </r>
  <r>
    <s v="India"/>
    <x v="5"/>
    <n v="7298.54"/>
    <n v="6477.6"/>
    <x v="1"/>
  </r>
  <r>
    <s v="Germany"/>
    <x v="7"/>
    <n v="5181.78"/>
    <n v="4469.8900000000003"/>
    <x v="2"/>
  </r>
  <r>
    <s v="Canada"/>
    <x v="10"/>
    <n v="1376.74"/>
    <n v="5657.15"/>
    <x v="5"/>
  </r>
  <r>
    <s v="Canada"/>
    <x v="2"/>
    <n v="7548.74"/>
    <n v="3578.05"/>
    <x v="5"/>
  </r>
  <r>
    <s v="China"/>
    <x v="21"/>
    <n v="5207.8100000000004"/>
    <n v="1174.23"/>
    <x v="1"/>
  </r>
  <r>
    <s v="India"/>
    <x v="14"/>
    <n v="3011.79"/>
    <n v="1226.23"/>
    <x v="1"/>
  </r>
  <r>
    <s v="Canada"/>
    <x v="18"/>
    <n v="1544.54"/>
    <n v="4924.7299999999996"/>
    <x v="5"/>
  </r>
  <r>
    <s v="Germany"/>
    <x v="16"/>
    <n v="6455.19"/>
    <n v="3240.02"/>
    <x v="2"/>
  </r>
  <r>
    <s v="China"/>
    <x v="18"/>
    <n v="5150.55"/>
    <n v="1723.46"/>
    <x v="1"/>
  </r>
  <r>
    <s v="Mexico"/>
    <x v="4"/>
    <n v="4500.96"/>
    <n v="3644.52"/>
    <x v="5"/>
  </r>
  <r>
    <s v="Germany"/>
    <x v="7"/>
    <n v="7204.19"/>
    <n v="823.78"/>
    <x v="2"/>
  </r>
  <r>
    <s v="China"/>
    <x v="17"/>
    <n v="6414.48"/>
    <n v="4241.01"/>
    <x v="1"/>
  </r>
  <r>
    <s v="India"/>
    <x v="16"/>
    <n v="1637.56"/>
    <n v="2175.36"/>
    <x v="1"/>
  </r>
  <r>
    <s v="South Africa"/>
    <x v="6"/>
    <n v="2837.92"/>
    <n v="5663.89"/>
    <x v="3"/>
  </r>
  <r>
    <s v="Australia"/>
    <x v="14"/>
    <n v="2363.67"/>
    <n v="2448.39"/>
    <x v="0"/>
  </r>
  <r>
    <s v="Mexico"/>
    <x v="9"/>
    <n v="6079.6"/>
    <n v="3404.45"/>
    <x v="5"/>
  </r>
  <r>
    <s v="France"/>
    <x v="2"/>
    <n v="751.49"/>
    <n v="476.7"/>
    <x v="2"/>
  </r>
  <r>
    <s v="South Africa"/>
    <x v="3"/>
    <n v="4774.17"/>
    <n v="878.15"/>
    <x v="3"/>
  </r>
  <r>
    <s v="Brazil"/>
    <x v="16"/>
    <n v="6218.44"/>
    <n v="2990.46"/>
    <x v="4"/>
  </r>
  <r>
    <s v="Germany"/>
    <x v="9"/>
    <n v="7075.74"/>
    <n v="3567.6"/>
    <x v="2"/>
  </r>
  <r>
    <s v="Brazil"/>
    <x v="15"/>
    <n v="3065.61"/>
    <n v="4360.1400000000003"/>
    <x v="4"/>
  </r>
  <r>
    <s v="South Africa"/>
    <x v="9"/>
    <n v="6659.43"/>
    <n v="2324.9699999999998"/>
    <x v="3"/>
  </r>
  <r>
    <s v="China"/>
    <x v="18"/>
    <n v="1329.74"/>
    <n v="4986.88"/>
    <x v="1"/>
  </r>
  <r>
    <s v="France"/>
    <x v="21"/>
    <n v="6848.39"/>
    <n v="6076.81"/>
    <x v="2"/>
  </r>
  <r>
    <s v="Mexico"/>
    <x v="16"/>
    <n v="1456.16"/>
    <n v="5547.02"/>
    <x v="5"/>
  </r>
  <r>
    <s v="Mexico"/>
    <x v="16"/>
    <n v="3479.65"/>
    <n v="661.48"/>
    <x v="5"/>
  </r>
  <r>
    <s v="Mexico"/>
    <x v="1"/>
    <n v="6479.72"/>
    <n v="3571.35"/>
    <x v="5"/>
  </r>
  <r>
    <s v="France"/>
    <x v="4"/>
    <n v="1624.38"/>
    <n v="1092.54"/>
    <x v="2"/>
  </r>
  <r>
    <s v="United States"/>
    <x v="11"/>
    <n v="2219.39"/>
    <n v="1997.5"/>
    <x v="5"/>
  </r>
  <r>
    <s v="France"/>
    <x v="15"/>
    <n v="5916.89"/>
    <n v="6911.97"/>
    <x v="2"/>
  </r>
  <r>
    <s v="Australia"/>
    <x v="13"/>
    <n v="5900.27"/>
    <n v="1340.47"/>
    <x v="0"/>
  </r>
  <r>
    <s v="France"/>
    <x v="16"/>
    <n v="5308.61"/>
    <n v="3692.66"/>
    <x v="2"/>
  </r>
  <r>
    <s v="South Africa"/>
    <x v="7"/>
    <n v="5704.61"/>
    <n v="4479.83"/>
    <x v="3"/>
  </r>
  <r>
    <s v="United States"/>
    <x v="3"/>
    <n v="4570.43"/>
    <n v="5036.2700000000004"/>
    <x v="5"/>
  </r>
  <r>
    <s v="Mexico"/>
    <x v="21"/>
    <n v="2388.4899999999998"/>
    <n v="4093.68"/>
    <x v="5"/>
  </r>
  <r>
    <s v="South Africa"/>
    <x v="13"/>
    <n v="3092.72"/>
    <n v="464.49"/>
    <x v="3"/>
  </r>
  <r>
    <s v="South Africa"/>
    <x v="3"/>
    <n v="1861.98"/>
    <n v="2554.64"/>
    <x v="3"/>
  </r>
  <r>
    <s v="Russia"/>
    <x v="21"/>
    <n v="7313.38"/>
    <n v="3816.9"/>
    <x v="2"/>
  </r>
  <r>
    <s v="Japan"/>
    <x v="6"/>
    <n v="4875.4399999999996"/>
    <n v="979.92"/>
    <x v="1"/>
  </r>
  <r>
    <s v="United States"/>
    <x v="0"/>
    <n v="3506.39"/>
    <n v="2714.14"/>
    <x v="5"/>
  </r>
  <r>
    <s v="South Africa"/>
    <x v="1"/>
    <n v="3965.04"/>
    <n v="619.14"/>
    <x v="3"/>
  </r>
  <r>
    <s v="Japan"/>
    <x v="13"/>
    <n v="7604.63"/>
    <n v="918.62"/>
    <x v="1"/>
  </r>
  <r>
    <s v="Japan"/>
    <x v="22"/>
    <n v="1650.14"/>
    <n v="3019.69"/>
    <x v="1"/>
  </r>
  <r>
    <s v="United States"/>
    <x v="4"/>
    <n v="4896.72"/>
    <n v="1275.92"/>
    <x v="5"/>
  </r>
  <r>
    <s v="Russia"/>
    <x v="5"/>
    <n v="4294.17"/>
    <n v="4145.7700000000004"/>
    <x v="2"/>
  </r>
  <r>
    <s v="Brazil"/>
    <x v="2"/>
    <n v="5085.91"/>
    <n v="4950.47"/>
    <x v="4"/>
  </r>
  <r>
    <s v="China"/>
    <x v="18"/>
    <n v="635.83000000000004"/>
    <n v="5683.87"/>
    <x v="1"/>
  </r>
  <r>
    <s v="Australia"/>
    <x v="3"/>
    <n v="7040.93"/>
    <n v="1720.99"/>
    <x v="0"/>
  </r>
  <r>
    <s v="China"/>
    <x v="1"/>
    <n v="7490.89"/>
    <n v="1505.39"/>
    <x v="1"/>
  </r>
  <r>
    <s v="France"/>
    <x v="5"/>
    <n v="4738.5"/>
    <n v="1090.1500000000001"/>
    <x v="2"/>
  </r>
  <r>
    <s v="Mexico"/>
    <x v="7"/>
    <n v="5724.88"/>
    <n v="4600.4399999999996"/>
    <x v="5"/>
  </r>
  <r>
    <s v="Australia"/>
    <x v="5"/>
    <n v="7418.75"/>
    <n v="5062.74"/>
    <x v="0"/>
  </r>
  <r>
    <s v="France"/>
    <x v="9"/>
    <n v="5804.29"/>
    <n v="608.47"/>
    <x v="2"/>
  </r>
  <r>
    <s v="South Africa"/>
    <x v="4"/>
    <n v="1644.04"/>
    <n v="6579"/>
    <x v="3"/>
  </r>
  <r>
    <s v="Mexico"/>
    <x v="6"/>
    <n v="4822.16"/>
    <n v="743.01"/>
    <x v="5"/>
  </r>
  <r>
    <s v="Germany"/>
    <x v="15"/>
    <n v="5050.3599999999997"/>
    <n v="3972.56"/>
    <x v="2"/>
  </r>
  <r>
    <s v="United States"/>
    <x v="5"/>
    <n v="3680.98"/>
    <n v="5079.8"/>
    <x v="5"/>
  </r>
  <r>
    <s v="Australia"/>
    <x v="10"/>
    <n v="6023.33"/>
    <n v="6148.4"/>
    <x v="0"/>
  </r>
  <r>
    <s v="Australia"/>
    <x v="6"/>
    <n v="7507.75"/>
    <n v="5112.97"/>
    <x v="0"/>
  </r>
  <r>
    <s v="South Africa"/>
    <x v="0"/>
    <n v="7441.76"/>
    <n v="5691.41"/>
    <x v="3"/>
  </r>
  <r>
    <s v="Brazil"/>
    <x v="2"/>
    <n v="3881.3"/>
    <n v="2640.37"/>
    <x v="4"/>
  </r>
  <r>
    <s v="Japan"/>
    <x v="18"/>
    <n v="1349.29"/>
    <n v="5777.85"/>
    <x v="1"/>
  </r>
  <r>
    <s v="Mexico"/>
    <x v="9"/>
    <n v="7886.31"/>
    <n v="928.76"/>
    <x v="5"/>
  </r>
  <r>
    <s v="South Africa"/>
    <x v="19"/>
    <n v="6791.74"/>
    <n v="6305.79"/>
    <x v="3"/>
  </r>
  <r>
    <s v="Canada"/>
    <x v="19"/>
    <n v="1434.97"/>
    <n v="4014.11"/>
    <x v="5"/>
  </r>
  <r>
    <s v="Russia"/>
    <x v="17"/>
    <n v="7406.31"/>
    <n v="5794.17"/>
    <x v="2"/>
  </r>
  <r>
    <s v="Japan"/>
    <x v="22"/>
    <n v="7024.22"/>
    <n v="3385.3"/>
    <x v="1"/>
  </r>
  <r>
    <s v="United States"/>
    <x v="3"/>
    <n v="4391.29"/>
    <n v="4647.6099999999997"/>
    <x v="5"/>
  </r>
  <r>
    <s v="Japan"/>
    <x v="21"/>
    <n v="4934.57"/>
    <n v="3874.26"/>
    <x v="1"/>
  </r>
  <r>
    <s v="Brazil"/>
    <x v="10"/>
    <n v="3492.52"/>
    <n v="5228.49"/>
    <x v="4"/>
  </r>
  <r>
    <s v="Japan"/>
    <x v="3"/>
    <n v="910.71"/>
    <n v="938.76"/>
    <x v="1"/>
  </r>
  <r>
    <s v="United States"/>
    <x v="16"/>
    <n v="3013.98"/>
    <n v="798.32"/>
    <x v="5"/>
  </r>
  <r>
    <s v="Brazil"/>
    <x v="23"/>
    <n v="6521.4"/>
    <n v="2030.88"/>
    <x v="4"/>
  </r>
  <r>
    <s v="China"/>
    <x v="6"/>
    <n v="534.74"/>
    <n v="1452.99"/>
    <x v="1"/>
  </r>
  <r>
    <s v="Australia"/>
    <x v="0"/>
    <n v="3001.24"/>
    <n v="6153.77"/>
    <x v="0"/>
  </r>
  <r>
    <s v="Australia"/>
    <x v="15"/>
    <n v="3486.27"/>
    <n v="1846.81"/>
    <x v="0"/>
  </r>
  <r>
    <s v="Russia"/>
    <x v="20"/>
    <n v="4530.47"/>
    <n v="6840.71"/>
    <x v="2"/>
  </r>
  <r>
    <s v="France"/>
    <x v="10"/>
    <n v="7398.92"/>
    <n v="2623.51"/>
    <x v="2"/>
  </r>
  <r>
    <s v="China"/>
    <x v="21"/>
    <n v="3097.59"/>
    <n v="1601.98"/>
    <x v="1"/>
  </r>
  <r>
    <s v="China"/>
    <x v="17"/>
    <n v="3102.15"/>
    <n v="5612.01"/>
    <x v="1"/>
  </r>
  <r>
    <s v="Mexico"/>
    <x v="12"/>
    <n v="6031.26"/>
    <n v="4747.47"/>
    <x v="5"/>
  </r>
  <r>
    <s v="Japan"/>
    <x v="2"/>
    <n v="3891.63"/>
    <n v="3688.09"/>
    <x v="1"/>
  </r>
  <r>
    <s v="Australia"/>
    <x v="2"/>
    <n v="2184.54"/>
    <n v="4065.4"/>
    <x v="0"/>
  </r>
  <r>
    <s v="United States"/>
    <x v="23"/>
    <n v="3893.3"/>
    <n v="5146.7299999999996"/>
    <x v="5"/>
  </r>
  <r>
    <s v="India"/>
    <x v="13"/>
    <n v="1556.43"/>
    <n v="1907.8"/>
    <x v="1"/>
  </r>
  <r>
    <s v="India"/>
    <x v="20"/>
    <n v="1822.9"/>
    <n v="6975.8"/>
    <x v="1"/>
  </r>
  <r>
    <s v="Brazil"/>
    <x v="4"/>
    <n v="4237.76"/>
    <n v="6833.63"/>
    <x v="4"/>
  </r>
  <r>
    <s v="Australia"/>
    <x v="15"/>
    <n v="4383.0029999999997"/>
    <n v="4692.1499999999996"/>
    <x v="0"/>
  </r>
  <r>
    <s v="Australia"/>
    <x v="8"/>
    <n v="7361.34"/>
    <n v="1716.98"/>
    <x v="0"/>
  </r>
  <r>
    <s v="Russia"/>
    <x v="11"/>
    <n v="3217.95"/>
    <n v="4889.51"/>
    <x v="2"/>
  </r>
  <r>
    <s v="India"/>
    <x v="1"/>
    <n v="4854.41"/>
    <n v="876.51"/>
    <x v="1"/>
  </r>
  <r>
    <s v="Australia"/>
    <x v="16"/>
    <n v="5241.9799999999996"/>
    <n v="602.30999999999995"/>
    <x v="0"/>
  </r>
  <r>
    <s v="Russia"/>
    <x v="6"/>
    <n v="598.21"/>
    <n v="2100.71"/>
    <x v="2"/>
  </r>
  <r>
    <s v="Japan"/>
    <x v="15"/>
    <n v="5476.53"/>
    <n v="3453.31"/>
    <x v="1"/>
  </r>
  <r>
    <s v="Canada"/>
    <x v="7"/>
    <n v="1835.27"/>
    <n v="6130.6"/>
    <x v="5"/>
  </r>
  <r>
    <s v="Mexico"/>
    <x v="7"/>
    <n v="7708.03"/>
    <n v="5199.32"/>
    <x v="5"/>
  </r>
  <r>
    <s v="Germany"/>
    <x v="23"/>
    <n v="1614.97"/>
    <n v="5301.86"/>
    <x v="2"/>
  </r>
  <r>
    <s v="China"/>
    <x v="13"/>
    <n v="3609.68"/>
    <n v="3208.26"/>
    <x v="1"/>
  </r>
  <r>
    <s v="France"/>
    <x v="3"/>
    <n v="1140.1199999999999"/>
    <n v="2683.17"/>
    <x v="2"/>
  </r>
  <r>
    <s v="Brazil"/>
    <x v="11"/>
    <n v="7976.56"/>
    <n v="2848.86"/>
    <x v="4"/>
  </r>
  <r>
    <s v="Canada"/>
    <x v="6"/>
    <n v="4266.46"/>
    <n v="6918.49"/>
    <x v="5"/>
  </r>
  <r>
    <s v="Mexico"/>
    <x v="10"/>
    <n v="4965.3900000000003"/>
    <n v="664.72"/>
    <x v="5"/>
  </r>
  <r>
    <s v="Mexico"/>
    <x v="13"/>
    <n v="1003.07"/>
    <n v="6122.41"/>
    <x v="5"/>
  </r>
  <r>
    <s v="Mexico"/>
    <x v="6"/>
    <n v="4383.0029999999997"/>
    <n v="4219.26"/>
    <x v="5"/>
  </r>
  <r>
    <s v="Mexico"/>
    <x v="18"/>
    <n v="2074.29"/>
    <n v="3294.86"/>
    <x v="5"/>
  </r>
  <r>
    <s v="India"/>
    <x v="15"/>
    <n v="7235.41"/>
    <n v="5186.7"/>
    <x v="1"/>
  </r>
  <r>
    <s v="Russia"/>
    <x v="15"/>
    <n v="2038.55"/>
    <n v="3612.02"/>
    <x v="2"/>
  </r>
  <r>
    <s v="China"/>
    <x v="17"/>
    <n v="1930.16"/>
    <n v="6164.59"/>
    <x v="1"/>
  </r>
  <r>
    <s v="Australia"/>
    <x v="1"/>
    <n v="774.12"/>
    <n v="6344.63"/>
    <x v="0"/>
  </r>
  <r>
    <s v="Mexico"/>
    <x v="20"/>
    <n v="4040.5"/>
    <n v="3183.36"/>
    <x v="5"/>
  </r>
  <r>
    <s v="France"/>
    <x v="21"/>
    <n v="4736.3100000000004"/>
    <n v="2227.06"/>
    <x v="2"/>
  </r>
  <r>
    <s v="Australia"/>
    <x v="6"/>
    <n v="992.81"/>
    <n v="4309.51"/>
    <x v="0"/>
  </r>
  <r>
    <s v="United States"/>
    <x v="8"/>
    <n v="6316.46"/>
    <n v="6421.6"/>
    <x v="5"/>
  </r>
  <r>
    <s v="United States"/>
    <x v="18"/>
    <n v="3899.67"/>
    <n v="1790.37"/>
    <x v="5"/>
  </r>
  <r>
    <s v="France"/>
    <x v="15"/>
    <n v="4432.93"/>
    <n v="4511.58"/>
    <x v="2"/>
  </r>
  <r>
    <s v="Russia"/>
    <x v="16"/>
    <n v="3805.72"/>
    <n v="4568.3"/>
    <x v="2"/>
  </r>
  <r>
    <s v="France"/>
    <x v="14"/>
    <n v="3505.72"/>
    <n v="5238.55"/>
    <x v="2"/>
  </r>
  <r>
    <s v="India"/>
    <x v="8"/>
    <n v="4697.3"/>
    <n v="1268.3499999999999"/>
    <x v="1"/>
  </r>
  <r>
    <s v="France"/>
    <x v="23"/>
    <n v="1664.3"/>
    <n v="5124.4399999999996"/>
    <x v="2"/>
  </r>
  <r>
    <s v="Japan"/>
    <x v="5"/>
    <n v="1864.46"/>
    <n v="6399.61"/>
    <x v="1"/>
  </r>
  <r>
    <s v="Australia"/>
    <x v="23"/>
    <n v="6963.39"/>
    <n v="1585.91"/>
    <x v="0"/>
  </r>
  <r>
    <s v="Canada"/>
    <x v="3"/>
    <n v="7595.87"/>
    <n v="1967.79"/>
    <x v="5"/>
  </r>
  <r>
    <s v="South Africa"/>
    <x v="15"/>
    <n v="3299.82"/>
    <n v="6811.21"/>
    <x v="3"/>
  </r>
  <r>
    <s v="Russia"/>
    <x v="15"/>
    <n v="2530.59"/>
    <n v="1594.45"/>
    <x v="2"/>
  </r>
  <r>
    <s v="France"/>
    <x v="22"/>
    <n v="5330"/>
    <n v="6038.94"/>
    <x v="2"/>
  </r>
  <r>
    <s v="Brazil"/>
    <x v="5"/>
    <n v="3565.51"/>
    <n v="3649.03"/>
    <x v="4"/>
  </r>
  <r>
    <s v="United States"/>
    <x v="4"/>
    <n v="690.4"/>
    <n v="2031.73"/>
    <x v="5"/>
  </r>
  <r>
    <s v="Japan"/>
    <x v="11"/>
    <n v="1671.14"/>
    <n v="6146.9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35FE4-CBA1-48B0-9AB5-1463C9F78E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8:K55" firstHeaderRow="1" firstDataRow="1" firstDataCol="1"/>
  <pivotFields count="5">
    <pivotField showAll="0"/>
    <pivotField showAll="0"/>
    <pivotField showAll="0"/>
    <pivotField dataField="1"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Average of Cost_of_Living" fld="3"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93985-A9C1-4311-94C7-D7D551C07D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2:K39" firstHeaderRow="1" firstDataRow="1" firstDataCol="1"/>
  <pivotFields count="5">
    <pivotField showAll="0"/>
    <pivotField showAll="0"/>
    <pivotField dataField="1" showAll="0"/>
    <pivotField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Average of Average_Monthly_Income" fld="2"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D92114-E0A0-49EF-9415-D48A9A4799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1:AE38" firstHeaderRow="1" firstDataRow="1" firstDataCol="1"/>
  <pivotFields count="5">
    <pivotField showAll="0"/>
    <pivotField showAll="0"/>
    <pivotField dataField="1" showAll="0"/>
    <pivotField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Min of Average_Monthly_Income" fld="2" subtotal="min"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F09E13-187A-4386-AC3D-50452E36FB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1:AB38" firstHeaderRow="1" firstDataRow="1" firstDataCol="1"/>
  <pivotFields count="5">
    <pivotField showAll="0"/>
    <pivotField showAll="0"/>
    <pivotField dataField="1" showAll="0"/>
    <pivotField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Max of Average_Monthly_Income" fld="2" subtotal="max"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D1746-AEA3-41A3-ADCA-D68852D738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AI29" firstHeaderRow="1" firstDataRow="2" firstDataCol="1"/>
  <pivotFields count="5">
    <pivotField showAll="0"/>
    <pivotField axis="axisCol" showAll="0">
      <items count="25">
        <item x="8"/>
        <item x="12"/>
        <item x="18"/>
        <item x="7"/>
        <item x="2"/>
        <item x="23"/>
        <item x="6"/>
        <item x="20"/>
        <item x="21"/>
        <item x="10"/>
        <item x="19"/>
        <item x="3"/>
        <item x="15"/>
        <item x="0"/>
        <item x="22"/>
        <item x="4"/>
        <item x="16"/>
        <item x="17"/>
        <item x="13"/>
        <item x="1"/>
        <item x="5"/>
        <item x="11"/>
        <item x="9"/>
        <item x="14"/>
        <item t="default"/>
      </items>
    </pivotField>
    <pivotField showAll="0"/>
    <pivotField showAll="0"/>
    <pivotField axis="axisRow" showAll="0">
      <items count="7">
        <item x="3"/>
        <item x="1"/>
        <item x="2"/>
        <item x="5"/>
        <item x="0"/>
        <item x="4"/>
        <item t="default"/>
      </items>
    </pivotField>
  </pivotFields>
  <rowFields count="1">
    <field x="4"/>
  </rowFields>
  <rowItems count="7">
    <i>
      <x/>
    </i>
    <i>
      <x v="1"/>
    </i>
    <i>
      <x v="2"/>
    </i>
    <i>
      <x v="3"/>
    </i>
    <i>
      <x v="4"/>
    </i>
    <i>
      <x v="5"/>
    </i>
    <i t="grand">
      <x/>
    </i>
  </rowItems>
  <colFields count="1">
    <field x="1"/>
  </colFields>
  <colItems count="25">
    <i>
      <x/>
    </i>
    <i>
      <x v="1"/>
    </i>
    <i>
      <x v="2"/>
    </i>
    <i>
      <x v="3"/>
    </i>
    <i>
      <x v="4"/>
    </i>
    <i>
      <x v="5"/>
    </i>
    <i>
      <x v="6"/>
    </i>
    <i>
      <x v="7"/>
    </i>
    <i>
      <x v="8"/>
    </i>
    <i>
      <x v="9"/>
    </i>
    <i>
      <x v="10"/>
    </i>
    <i>
      <x v="11"/>
    </i>
    <i>
      <x v="12"/>
    </i>
    <i>
      <x v="13"/>
    </i>
    <i>
      <x v="14"/>
    </i>
    <i>
      <x v="15"/>
    </i>
    <i>
      <x v="16"/>
    </i>
    <i>
      <x v="17"/>
    </i>
    <i>
      <x v="18"/>
    </i>
    <i>
      <x v="19"/>
    </i>
    <i>
      <x v="20"/>
    </i>
    <i>
      <x v="21"/>
    </i>
    <i>
      <x v="22"/>
    </i>
    <i>
      <x v="2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3701FA-29ED-460A-84D3-CBFD2E5EB8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65:Q91" firstHeaderRow="1" firstDataRow="2" firstDataCol="1"/>
  <pivotFields count="5">
    <pivotField showAll="0"/>
    <pivotField axis="axisRow" showAll="0">
      <items count="25">
        <item x="8"/>
        <item x="12"/>
        <item x="18"/>
        <item x="7"/>
        <item x="2"/>
        <item x="23"/>
        <item x="6"/>
        <item x="20"/>
        <item x="21"/>
        <item x="10"/>
        <item x="19"/>
        <item x="3"/>
        <item x="15"/>
        <item x="0"/>
        <item x="22"/>
        <item x="4"/>
        <item x="16"/>
        <item x="17"/>
        <item x="13"/>
        <item x="1"/>
        <item x="5"/>
        <item x="11"/>
        <item x="9"/>
        <item x="14"/>
        <item t="default"/>
      </items>
    </pivotField>
    <pivotField showAll="0"/>
    <pivotField dataField="1" showAll="0"/>
    <pivotField axis="axisCol" multipleItemSelectionAllowed="1" showAll="0">
      <items count="7">
        <item x="3"/>
        <item x="1"/>
        <item x="2"/>
        <item x="5"/>
        <item x="0"/>
        <item x="4"/>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7">
    <i>
      <x/>
    </i>
    <i>
      <x v="1"/>
    </i>
    <i>
      <x v="2"/>
    </i>
    <i>
      <x v="3"/>
    </i>
    <i>
      <x v="4"/>
    </i>
    <i>
      <x v="5"/>
    </i>
    <i t="grand">
      <x/>
    </i>
  </colItems>
  <dataFields count="1">
    <dataField name="Average of Cost_of_Living" fld="3" subtotal="average" baseField="1" baseItem="8"/>
  </dataFields>
  <chartFormats count="7">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4" count="1" selected="0">
            <x v="1"/>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3"/>
          </reference>
        </references>
      </pivotArea>
    </chartFormat>
    <chartFormat chart="0" format="10" series="1">
      <pivotArea type="data" outline="0" fieldPosition="0">
        <references count="2">
          <reference field="4294967294" count="1" selected="0">
            <x v="0"/>
          </reference>
          <reference field="4" count="1" selected="0">
            <x v="4"/>
          </reference>
        </references>
      </pivotArea>
    </chartFormat>
    <chartFormat chart="0" format="11" series="1">
      <pivotArea type="data" outline="0" fieldPosition="0">
        <references count="2">
          <reference field="4294967294" count="1" selected="0">
            <x v="0"/>
          </reference>
          <reference field="4" count="1" selected="0">
            <x v="5"/>
          </reference>
        </references>
      </pivotArea>
    </chartFormat>
    <chartFormat chart="0" format="1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DC5998-BF71-4F21-A459-EE7F9E7B95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64:AH90" firstHeaderRow="1" firstDataRow="2" firstDataCol="1"/>
  <pivotFields count="5">
    <pivotField showAll="0"/>
    <pivotField axis="axisRow" showAll="0">
      <items count="25">
        <item x="8"/>
        <item x="12"/>
        <item x="18"/>
        <item x="7"/>
        <item x="2"/>
        <item x="23"/>
        <item x="6"/>
        <item x="20"/>
        <item x="21"/>
        <item x="10"/>
        <item x="19"/>
        <item x="3"/>
        <item x="15"/>
        <item x="0"/>
        <item x="22"/>
        <item x="4"/>
        <item x="16"/>
        <item x="17"/>
        <item x="13"/>
        <item x="1"/>
        <item x="5"/>
        <item x="11"/>
        <item x="9"/>
        <item x="14"/>
        <item t="default"/>
      </items>
    </pivotField>
    <pivotField dataField="1" showAll="0"/>
    <pivotField showAll="0"/>
    <pivotField axis="axisCol" multipleItemSelectionAllowed="1" showAll="0">
      <items count="7">
        <item x="3"/>
        <item x="1"/>
        <item x="2"/>
        <item x="5"/>
        <item x="0"/>
        <item x="4"/>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7">
    <i>
      <x/>
    </i>
    <i>
      <x v="1"/>
    </i>
    <i>
      <x v="2"/>
    </i>
    <i>
      <x v="3"/>
    </i>
    <i>
      <x v="4"/>
    </i>
    <i>
      <x v="5"/>
    </i>
    <i t="grand">
      <x/>
    </i>
  </colItems>
  <dataFields count="1">
    <dataField name="Average of Average_Monthly_Income" fld="2" subtotal="average" baseField="4" baseItem="0"/>
  </dataFields>
  <chartFormats count="7">
    <chartFormat chart="2" format="18" series="1">
      <pivotArea type="data" outline="0" fieldPosition="0">
        <references count="2">
          <reference field="4294967294" count="1" selected="0">
            <x v="0"/>
          </reference>
          <reference field="4" count="1" selected="0">
            <x v="0"/>
          </reference>
        </references>
      </pivotArea>
    </chartFormat>
    <chartFormat chart="2" format="19" series="1">
      <pivotArea type="data" outline="0" fieldPosition="0">
        <references count="2">
          <reference field="4294967294" count="1" selected="0">
            <x v="0"/>
          </reference>
          <reference field="4" count="1" selected="0">
            <x v="1"/>
          </reference>
        </references>
      </pivotArea>
    </chartFormat>
    <chartFormat chart="2" format="20" series="1">
      <pivotArea type="data" outline="0" fieldPosition="0">
        <references count="2">
          <reference field="4294967294" count="1" selected="0">
            <x v="0"/>
          </reference>
          <reference field="4" count="1" selected="0">
            <x v="2"/>
          </reference>
        </references>
      </pivotArea>
    </chartFormat>
    <chartFormat chart="2" format="21" series="1">
      <pivotArea type="data" outline="0" fieldPosition="0">
        <references count="2">
          <reference field="4294967294" count="1" selected="0">
            <x v="0"/>
          </reference>
          <reference field="4" count="1" selected="0">
            <x v="3"/>
          </reference>
        </references>
      </pivotArea>
    </chartFormat>
    <chartFormat chart="2" format="22" series="1">
      <pivotArea type="data" outline="0" fieldPosition="0">
        <references count="2">
          <reference field="4294967294" count="1" selected="0">
            <x v="0"/>
          </reference>
          <reference field="4" count="1" selected="0">
            <x v="4"/>
          </reference>
        </references>
      </pivotArea>
    </chartFormat>
    <chartFormat chart="2" format="23" series="1">
      <pivotArea type="data" outline="0" fieldPosition="0">
        <references count="2">
          <reference field="4294967294" count="1" selected="0">
            <x v="0"/>
          </reference>
          <reference field="4" count="1" selected="0">
            <x v="5"/>
          </reference>
        </references>
      </pivotArea>
    </chartFormat>
    <chartFormat chart="2"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4008-90EC-4F4A-8B7D-3B7C642C1867}">
  <dimension ref="A1:C8"/>
  <sheetViews>
    <sheetView workbookViewId="0">
      <selection activeCell="G6" sqref="G6"/>
    </sheetView>
  </sheetViews>
  <sheetFormatPr defaultRowHeight="14.4" x14ac:dyDescent="0.3"/>
  <cols>
    <col min="1" max="1" width="27.6640625" customWidth="1"/>
    <col min="2" max="2" width="28.5546875" customWidth="1"/>
    <col min="3" max="3" width="58.77734375" customWidth="1"/>
  </cols>
  <sheetData>
    <row r="1" spans="1:3" ht="15.6" customHeight="1" x14ac:dyDescent="0.3">
      <c r="A1" s="8" t="s">
        <v>38</v>
      </c>
      <c r="B1" s="9"/>
      <c r="C1" s="14" t="s">
        <v>31</v>
      </c>
    </row>
    <row r="2" spans="1:3" ht="15.6" customHeight="1" x14ac:dyDescent="0.3">
      <c r="A2" s="10" t="s">
        <v>39</v>
      </c>
      <c r="B2" s="11"/>
      <c r="C2" s="15"/>
    </row>
    <row r="3" spans="1:3" ht="23.4" customHeight="1" thickBot="1" x14ac:dyDescent="0.35">
      <c r="A3" s="12" t="s">
        <v>40</v>
      </c>
      <c r="B3" s="13"/>
      <c r="C3" s="16"/>
    </row>
    <row r="4" spans="1:3" ht="16.2" thickBot="1" x14ac:dyDescent="0.35">
      <c r="A4" s="4" t="s">
        <v>32</v>
      </c>
      <c r="B4" s="5" t="s">
        <v>33</v>
      </c>
      <c r="C4" s="17"/>
    </row>
    <row r="5" spans="1:3" ht="46.8" customHeight="1" thickBot="1" x14ac:dyDescent="0.35">
      <c r="A5" s="6" t="s">
        <v>34</v>
      </c>
      <c r="B5" s="7"/>
      <c r="C5" s="18"/>
    </row>
    <row r="6" spans="1:3" ht="16.2" thickBot="1" x14ac:dyDescent="0.35">
      <c r="A6" s="6" t="s">
        <v>35</v>
      </c>
      <c r="B6" s="7"/>
      <c r="C6" s="18"/>
    </row>
    <row r="7" spans="1:3" ht="16.2" thickBot="1" x14ac:dyDescent="0.35">
      <c r="A7" s="6" t="s">
        <v>36</v>
      </c>
      <c r="B7" s="7"/>
      <c r="C7" s="18"/>
    </row>
    <row r="8" spans="1:3" ht="16.2" thickBot="1" x14ac:dyDescent="0.35">
      <c r="A8" s="4" t="s">
        <v>37</v>
      </c>
      <c r="B8" s="7"/>
      <c r="C8" s="19"/>
    </row>
  </sheetData>
  <mergeCells count="5">
    <mergeCell ref="A1:B1"/>
    <mergeCell ref="A2:B2"/>
    <mergeCell ref="A3:B3"/>
    <mergeCell ref="C1:C3"/>
    <mergeCell ref="C4: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085B-3A2F-48B8-98A7-3DB0C05C4D54}">
  <dimension ref="A1:AI200"/>
  <sheetViews>
    <sheetView tabSelected="1" topLeftCell="A42" zoomScale="47" workbookViewId="0">
      <selection activeCell="S1" sqref="S1"/>
    </sheetView>
  </sheetViews>
  <sheetFormatPr defaultRowHeight="14.4" x14ac:dyDescent="0.3"/>
  <cols>
    <col min="1" max="1" width="12.44140625" bestFit="1" customWidth="1"/>
    <col min="2" max="2" width="12.21875" customWidth="1"/>
    <col min="3" max="3" width="23.5546875" bestFit="1" customWidth="1"/>
    <col min="4" max="4" width="13.44140625" bestFit="1" customWidth="1"/>
    <col min="5" max="5" width="13.88671875" bestFit="1" customWidth="1"/>
    <col min="7" max="7" width="26.88671875" bestFit="1" customWidth="1"/>
    <col min="10" max="10" width="35.33203125" bestFit="1" customWidth="1"/>
    <col min="11" max="11" width="24.6640625" bestFit="1" customWidth="1"/>
    <col min="12" max="12" width="17.88671875" bestFit="1" customWidth="1"/>
    <col min="13" max="13" width="14.5546875" bestFit="1" customWidth="1"/>
    <col min="14" max="14" width="19.77734375" bestFit="1" customWidth="1"/>
    <col min="15" max="15" width="17.88671875" bestFit="1" customWidth="1"/>
    <col min="16" max="16" width="20" bestFit="1" customWidth="1"/>
    <col min="17" max="17" width="17.88671875" bestFit="1" customWidth="1"/>
    <col min="18" max="18" width="6.5546875" bestFit="1" customWidth="1"/>
    <col min="19" max="21" width="6.5546875" customWidth="1"/>
    <col min="22" max="26" width="6.5546875" bestFit="1" customWidth="1"/>
    <col min="27" max="27" width="48.77734375" bestFit="1" customWidth="1"/>
    <col min="28" max="28" width="24.6640625" bestFit="1" customWidth="1"/>
    <col min="29" max="30" width="17.88671875" bestFit="1" customWidth="1"/>
    <col min="31" max="31" width="19.77734375" bestFit="1" customWidth="1"/>
    <col min="32" max="32" width="17.88671875" bestFit="1" customWidth="1"/>
    <col min="33" max="33" width="20" bestFit="1" customWidth="1"/>
    <col min="34" max="34" width="17.88671875" bestFit="1" customWidth="1"/>
    <col min="35" max="35" width="11.5546875" bestFit="1" customWidth="1"/>
    <col min="36" max="37" width="13" bestFit="1" customWidth="1"/>
    <col min="38" max="38" width="11.5546875" bestFit="1" customWidth="1"/>
    <col min="39" max="40" width="15.5546875" bestFit="1" customWidth="1"/>
    <col min="41" max="41" width="11.5546875" bestFit="1" customWidth="1"/>
    <col min="42" max="42" width="10.33203125" bestFit="1" customWidth="1"/>
    <col min="43" max="43" width="13" bestFit="1" customWidth="1"/>
    <col min="44" max="45" width="15.5546875" bestFit="1" customWidth="1"/>
    <col min="46" max="46" width="10.88671875" bestFit="1" customWidth="1"/>
    <col min="47" max="47" width="14.109375" bestFit="1" customWidth="1"/>
    <col min="48" max="48" width="15.5546875" bestFit="1" customWidth="1"/>
    <col min="49" max="49" width="11.5546875" bestFit="1" customWidth="1"/>
    <col min="50" max="50" width="13" bestFit="1" customWidth="1"/>
    <col min="51" max="52" width="15.5546875" bestFit="1" customWidth="1"/>
  </cols>
  <sheetData>
    <row r="1" spans="1:8" ht="15.6" customHeight="1" x14ac:dyDescent="0.3">
      <c r="A1" t="s">
        <v>0</v>
      </c>
      <c r="B1" t="s">
        <v>1</v>
      </c>
      <c r="C1" t="s">
        <v>2</v>
      </c>
      <c r="D1" t="s">
        <v>3</v>
      </c>
      <c r="E1" t="s">
        <v>4</v>
      </c>
    </row>
    <row r="2" spans="1:8" ht="15.6" customHeight="1" x14ac:dyDescent="0.3">
      <c r="A2" t="s">
        <v>5</v>
      </c>
      <c r="B2">
        <v>2013</v>
      </c>
      <c r="C2">
        <v>3483.92</v>
      </c>
      <c r="D2">
        <v>1106.07</v>
      </c>
      <c r="E2" t="s">
        <v>6</v>
      </c>
    </row>
    <row r="3" spans="1:8" ht="16.2" customHeight="1" x14ac:dyDescent="0.3">
      <c r="A3" t="s">
        <v>7</v>
      </c>
      <c r="B3">
        <v>2019</v>
      </c>
      <c r="C3">
        <v>7771.03</v>
      </c>
      <c r="D3">
        <v>5422.78</v>
      </c>
      <c r="E3" t="s">
        <v>8</v>
      </c>
    </row>
    <row r="4" spans="1:8" ht="16.2" customHeight="1" x14ac:dyDescent="0.3">
      <c r="A4" t="s">
        <v>9</v>
      </c>
      <c r="B4">
        <v>2004</v>
      </c>
      <c r="C4">
        <v>6991.3</v>
      </c>
      <c r="D4">
        <v>3972.36</v>
      </c>
      <c r="E4" t="s">
        <v>10</v>
      </c>
    </row>
    <row r="5" spans="1:8" x14ac:dyDescent="0.3">
      <c r="A5" t="s">
        <v>11</v>
      </c>
      <c r="B5">
        <v>2011</v>
      </c>
      <c r="C5">
        <v>6628.04</v>
      </c>
      <c r="D5">
        <v>6755.75</v>
      </c>
      <c r="E5" t="s">
        <v>12</v>
      </c>
    </row>
    <row r="6" spans="1:8" x14ac:dyDescent="0.3">
      <c r="A6" t="s">
        <v>13</v>
      </c>
      <c r="B6">
        <v>2015</v>
      </c>
      <c r="C6">
        <v>2434.27</v>
      </c>
      <c r="D6">
        <v>2656.36</v>
      </c>
      <c r="E6" t="s">
        <v>14</v>
      </c>
    </row>
    <row r="7" spans="1:8" x14ac:dyDescent="0.3">
      <c r="A7" t="s">
        <v>5</v>
      </c>
      <c r="B7">
        <v>2015</v>
      </c>
      <c r="C7">
        <v>1781.66</v>
      </c>
      <c r="D7">
        <v>4575.3</v>
      </c>
      <c r="E7" t="s">
        <v>6</v>
      </c>
    </row>
    <row r="8" spans="1:8" x14ac:dyDescent="0.3">
      <c r="A8" t="s">
        <v>15</v>
      </c>
      <c r="B8">
        <v>2020</v>
      </c>
      <c r="C8">
        <v>5514.82</v>
      </c>
      <c r="D8">
        <v>6551.39</v>
      </c>
      <c r="E8" t="s">
        <v>8</v>
      </c>
    </row>
    <row r="9" spans="1:8" x14ac:dyDescent="0.3">
      <c r="A9" t="s">
        <v>16</v>
      </c>
      <c r="B9">
        <v>2006</v>
      </c>
      <c r="C9">
        <v>7470.32</v>
      </c>
      <c r="D9">
        <v>1076.56</v>
      </c>
      <c r="E9" t="s">
        <v>8</v>
      </c>
    </row>
    <row r="10" spans="1:8" x14ac:dyDescent="0.3">
      <c r="A10" t="s">
        <v>5</v>
      </c>
      <c r="B10">
        <v>2003</v>
      </c>
      <c r="C10">
        <v>4675.72</v>
      </c>
      <c r="D10">
        <v>6585.71</v>
      </c>
      <c r="E10" t="s">
        <v>6</v>
      </c>
    </row>
    <row r="11" spans="1:8" x14ac:dyDescent="0.3">
      <c r="A11" t="s">
        <v>9</v>
      </c>
      <c r="B11">
        <v>2000</v>
      </c>
      <c r="C11">
        <v>4787.1000000000004</v>
      </c>
      <c r="D11">
        <v>4940.05</v>
      </c>
      <c r="E11" t="s">
        <v>10</v>
      </c>
    </row>
    <row r="12" spans="1:8" x14ac:dyDescent="0.3">
      <c r="A12" t="s">
        <v>9</v>
      </c>
      <c r="B12">
        <v>2004</v>
      </c>
      <c r="C12">
        <v>2599.84</v>
      </c>
      <c r="D12">
        <v>847.72</v>
      </c>
      <c r="E12" t="s">
        <v>10</v>
      </c>
      <c r="G12" t="s">
        <v>23</v>
      </c>
      <c r="H12">
        <f>AVERAGE(C2:C161)</f>
        <v>4383.0029562500004</v>
      </c>
    </row>
    <row r="13" spans="1:8" x14ac:dyDescent="0.3">
      <c r="A13" t="s">
        <v>11</v>
      </c>
      <c r="B13">
        <v>2022</v>
      </c>
      <c r="C13">
        <v>6271.2</v>
      </c>
      <c r="D13">
        <v>2386.36</v>
      </c>
      <c r="E13" t="s">
        <v>12</v>
      </c>
    </row>
    <row r="14" spans="1:8" x14ac:dyDescent="0.3">
      <c r="A14" t="s">
        <v>13</v>
      </c>
      <c r="B14">
        <v>2009</v>
      </c>
      <c r="C14">
        <v>1902.83</v>
      </c>
      <c r="D14">
        <v>5073.9399999999996</v>
      </c>
      <c r="E14" t="s">
        <v>14</v>
      </c>
    </row>
    <row r="15" spans="1:8" x14ac:dyDescent="0.3">
      <c r="A15" t="s">
        <v>7</v>
      </c>
      <c r="B15">
        <v>2021</v>
      </c>
      <c r="C15">
        <v>2927.59</v>
      </c>
      <c r="D15">
        <v>844.51</v>
      </c>
      <c r="E15" t="s">
        <v>8</v>
      </c>
    </row>
    <row r="16" spans="1:8" x14ac:dyDescent="0.3">
      <c r="A16" t="s">
        <v>11</v>
      </c>
      <c r="B16">
        <v>2004</v>
      </c>
      <c r="C16">
        <v>3690.77</v>
      </c>
      <c r="D16">
        <v>4242.33</v>
      </c>
      <c r="E16" t="s">
        <v>12</v>
      </c>
    </row>
    <row r="17" spans="1:35" x14ac:dyDescent="0.3">
      <c r="A17" t="s">
        <v>11</v>
      </c>
      <c r="B17">
        <v>2003</v>
      </c>
      <c r="C17">
        <v>4307.08</v>
      </c>
      <c r="D17">
        <v>2682.83</v>
      </c>
      <c r="E17" t="s">
        <v>12</v>
      </c>
    </row>
    <row r="18" spans="1:35" x14ac:dyDescent="0.3">
      <c r="A18" t="s">
        <v>16</v>
      </c>
      <c r="B18">
        <v>2001</v>
      </c>
      <c r="C18">
        <v>2318.0700000000002</v>
      </c>
      <c r="D18">
        <v>4498.04</v>
      </c>
      <c r="E18" t="s">
        <v>8</v>
      </c>
    </row>
    <row r="19" spans="1:35" x14ac:dyDescent="0.3">
      <c r="A19" t="s">
        <v>17</v>
      </c>
      <c r="B19">
        <v>2019</v>
      </c>
      <c r="C19">
        <v>1361.28</v>
      </c>
      <c r="D19">
        <v>701.9</v>
      </c>
      <c r="E19" t="s">
        <v>18</v>
      </c>
    </row>
    <row r="20" spans="1:35" x14ac:dyDescent="0.3">
      <c r="A20" t="s">
        <v>13</v>
      </c>
      <c r="B20">
        <v>2009</v>
      </c>
      <c r="C20">
        <v>5079.6499999999996</v>
      </c>
      <c r="D20">
        <v>6152.14</v>
      </c>
      <c r="E20" t="s">
        <v>14</v>
      </c>
    </row>
    <row r="21" spans="1:35" x14ac:dyDescent="0.3">
      <c r="A21" t="s">
        <v>19</v>
      </c>
      <c r="B21">
        <v>2018</v>
      </c>
      <c r="C21">
        <v>2664.73</v>
      </c>
      <c r="D21">
        <v>6825.03</v>
      </c>
      <c r="E21" t="s">
        <v>10</v>
      </c>
      <c r="K21" s="2" t="s">
        <v>26</v>
      </c>
    </row>
    <row r="22" spans="1:35" x14ac:dyDescent="0.3">
      <c r="A22" t="s">
        <v>11</v>
      </c>
      <c r="B22">
        <v>2000</v>
      </c>
      <c r="C22">
        <v>4859.29</v>
      </c>
      <c r="D22">
        <v>6794.59</v>
      </c>
      <c r="E22" t="s">
        <v>12</v>
      </c>
      <c r="J22" s="2" t="s">
        <v>24</v>
      </c>
      <c r="K22">
        <v>2000</v>
      </c>
      <c r="L22">
        <v>2001</v>
      </c>
      <c r="M22">
        <v>2002</v>
      </c>
      <c r="N22">
        <v>2003</v>
      </c>
      <c r="O22">
        <v>2004</v>
      </c>
      <c r="P22">
        <v>2005</v>
      </c>
      <c r="Q22">
        <v>2006</v>
      </c>
      <c r="R22">
        <v>2007</v>
      </c>
      <c r="S22">
        <v>2008</v>
      </c>
      <c r="T22">
        <v>2009</v>
      </c>
      <c r="U22">
        <v>2010</v>
      </c>
      <c r="V22">
        <v>2011</v>
      </c>
      <c r="W22">
        <v>2012</v>
      </c>
      <c r="X22">
        <v>2013</v>
      </c>
      <c r="Y22">
        <v>2014</v>
      </c>
      <c r="Z22">
        <v>2015</v>
      </c>
      <c r="AA22">
        <v>2016</v>
      </c>
      <c r="AB22">
        <v>2017</v>
      </c>
      <c r="AC22">
        <v>2018</v>
      </c>
      <c r="AD22">
        <v>2019</v>
      </c>
      <c r="AE22">
        <v>2020</v>
      </c>
      <c r="AF22">
        <v>2021</v>
      </c>
      <c r="AG22">
        <v>2022</v>
      </c>
      <c r="AH22">
        <v>2023</v>
      </c>
      <c r="AI22" t="s">
        <v>25</v>
      </c>
    </row>
    <row r="23" spans="1:35" x14ac:dyDescent="0.3">
      <c r="A23" t="s">
        <v>20</v>
      </c>
      <c r="B23">
        <v>2023</v>
      </c>
      <c r="C23">
        <v>1657.72</v>
      </c>
      <c r="D23">
        <v>5347.7</v>
      </c>
      <c r="E23" t="s">
        <v>18</v>
      </c>
      <c r="J23" s="3" t="s">
        <v>12</v>
      </c>
    </row>
    <row r="24" spans="1:35" x14ac:dyDescent="0.3">
      <c r="A24" t="s">
        <v>17</v>
      </c>
      <c r="B24">
        <v>2004</v>
      </c>
      <c r="C24">
        <v>4108.55</v>
      </c>
      <c r="D24">
        <v>1258.57</v>
      </c>
      <c r="E24" t="s">
        <v>18</v>
      </c>
      <c r="J24" s="3" t="s">
        <v>8</v>
      </c>
    </row>
    <row r="25" spans="1:35" x14ac:dyDescent="0.3">
      <c r="A25" t="s">
        <v>19</v>
      </c>
      <c r="B25">
        <v>2012</v>
      </c>
      <c r="C25">
        <v>4494.42</v>
      </c>
      <c r="D25">
        <v>5404.54</v>
      </c>
      <c r="E25" t="s">
        <v>10</v>
      </c>
      <c r="J25" s="3" t="s">
        <v>10</v>
      </c>
    </row>
    <row r="26" spans="1:35" x14ac:dyDescent="0.3">
      <c r="A26" t="s">
        <v>20</v>
      </c>
      <c r="B26">
        <v>2003</v>
      </c>
      <c r="C26">
        <v>888.68</v>
      </c>
      <c r="D26">
        <v>562.27</v>
      </c>
      <c r="E26" t="s">
        <v>18</v>
      </c>
      <c r="J26" s="3" t="s">
        <v>18</v>
      </c>
    </row>
    <row r="27" spans="1:35" x14ac:dyDescent="0.3">
      <c r="A27" t="s">
        <v>13</v>
      </c>
      <c r="B27">
        <v>2015</v>
      </c>
      <c r="C27">
        <v>3024.53</v>
      </c>
      <c r="D27">
        <v>546.02</v>
      </c>
      <c r="E27" t="s">
        <v>14</v>
      </c>
      <c r="J27" s="3" t="s">
        <v>6</v>
      </c>
    </row>
    <row r="28" spans="1:35" x14ac:dyDescent="0.3">
      <c r="A28" t="s">
        <v>21</v>
      </c>
      <c r="B28">
        <v>2023</v>
      </c>
      <c r="C28">
        <v>1508.11</v>
      </c>
      <c r="D28">
        <v>2535.83</v>
      </c>
      <c r="E28" t="s">
        <v>18</v>
      </c>
      <c r="J28" s="3" t="s">
        <v>14</v>
      </c>
    </row>
    <row r="29" spans="1:35" x14ac:dyDescent="0.3">
      <c r="A29" t="s">
        <v>20</v>
      </c>
      <c r="B29">
        <v>2015</v>
      </c>
      <c r="C29">
        <v>975.31</v>
      </c>
      <c r="D29">
        <v>3625.05</v>
      </c>
      <c r="E29" t="s">
        <v>18</v>
      </c>
      <c r="J29" s="3" t="s">
        <v>25</v>
      </c>
    </row>
    <row r="30" spans="1:35" x14ac:dyDescent="0.3">
      <c r="A30" t="s">
        <v>15</v>
      </c>
      <c r="B30">
        <v>2022</v>
      </c>
      <c r="C30">
        <v>7924.7</v>
      </c>
      <c r="D30">
        <v>5484.69</v>
      </c>
      <c r="E30" t="s">
        <v>8</v>
      </c>
    </row>
    <row r="31" spans="1:35" x14ac:dyDescent="0.3">
      <c r="A31" t="s">
        <v>17</v>
      </c>
      <c r="B31">
        <v>2001</v>
      </c>
      <c r="C31">
        <v>2917.65</v>
      </c>
      <c r="D31">
        <v>4909.75</v>
      </c>
      <c r="E31" t="s">
        <v>18</v>
      </c>
      <c r="AA31" s="2" t="s">
        <v>24</v>
      </c>
      <c r="AB31" t="s">
        <v>29</v>
      </c>
      <c r="AD31" s="2" t="s">
        <v>24</v>
      </c>
      <c r="AE31" t="s">
        <v>30</v>
      </c>
    </row>
    <row r="32" spans="1:35" x14ac:dyDescent="0.3">
      <c r="A32" t="s">
        <v>20</v>
      </c>
      <c r="B32">
        <v>2016</v>
      </c>
      <c r="C32">
        <v>6574.06</v>
      </c>
      <c r="D32">
        <v>3342.96</v>
      </c>
      <c r="E32" t="s">
        <v>18</v>
      </c>
      <c r="J32" s="2" t="s">
        <v>24</v>
      </c>
      <c r="K32" t="s">
        <v>27</v>
      </c>
      <c r="AA32" s="3" t="s">
        <v>12</v>
      </c>
      <c r="AB32">
        <v>7441.76</v>
      </c>
      <c r="AD32" s="3" t="s">
        <v>12</v>
      </c>
      <c r="AE32">
        <v>1644.04</v>
      </c>
    </row>
    <row r="33" spans="1:31" x14ac:dyDescent="0.3">
      <c r="A33" t="s">
        <v>22</v>
      </c>
      <c r="B33">
        <v>2019</v>
      </c>
      <c r="C33">
        <v>2409.8000000000002</v>
      </c>
      <c r="D33">
        <v>2205.94</v>
      </c>
      <c r="E33" t="s">
        <v>10</v>
      </c>
      <c r="J33" s="3" t="s">
        <v>12</v>
      </c>
      <c r="K33">
        <v>4695.1850000000004</v>
      </c>
      <c r="AA33" s="3" t="s">
        <v>8</v>
      </c>
      <c r="AB33">
        <v>7924.7</v>
      </c>
      <c r="AD33" s="3" t="s">
        <v>8</v>
      </c>
      <c r="AE33">
        <v>534.74</v>
      </c>
    </row>
    <row r="34" spans="1:31" x14ac:dyDescent="0.3">
      <c r="A34" t="s">
        <v>21</v>
      </c>
      <c r="B34">
        <v>2023</v>
      </c>
      <c r="C34">
        <v>5611.27</v>
      </c>
      <c r="D34">
        <v>6981.02</v>
      </c>
      <c r="E34" t="s">
        <v>18</v>
      </c>
      <c r="J34" s="3" t="s">
        <v>8</v>
      </c>
      <c r="K34">
        <v>4172.5140425531908</v>
      </c>
      <c r="AA34" s="3" t="s">
        <v>10</v>
      </c>
      <c r="AB34">
        <v>7406.31</v>
      </c>
      <c r="AD34" s="3" t="s">
        <v>10</v>
      </c>
      <c r="AE34">
        <v>598.21</v>
      </c>
    </row>
    <row r="35" spans="1:31" x14ac:dyDescent="0.3">
      <c r="A35" t="s">
        <v>9</v>
      </c>
      <c r="B35">
        <v>2011</v>
      </c>
      <c r="C35">
        <v>6201.71</v>
      </c>
      <c r="D35">
        <v>3212.8</v>
      </c>
      <c r="E35" t="s">
        <v>10</v>
      </c>
      <c r="J35" s="3" t="s">
        <v>10</v>
      </c>
      <c r="K35">
        <v>4477.2575555555559</v>
      </c>
      <c r="AA35" s="3" t="s">
        <v>18</v>
      </c>
      <c r="AB35">
        <v>7886.31</v>
      </c>
      <c r="AD35" s="3" t="s">
        <v>18</v>
      </c>
      <c r="AE35">
        <v>690.4</v>
      </c>
    </row>
    <row r="36" spans="1:31" x14ac:dyDescent="0.3">
      <c r="A36" t="s">
        <v>9</v>
      </c>
      <c r="B36">
        <v>2017</v>
      </c>
      <c r="C36">
        <v>4967.29</v>
      </c>
      <c r="D36">
        <v>3379.15</v>
      </c>
      <c r="E36" t="s">
        <v>10</v>
      </c>
      <c r="J36" s="3" t="s">
        <v>18</v>
      </c>
      <c r="K36">
        <v>3776.4153529411769</v>
      </c>
      <c r="AA36" s="3" t="s">
        <v>6</v>
      </c>
      <c r="AB36">
        <v>7737.7</v>
      </c>
      <c r="AD36" s="3" t="s">
        <v>6</v>
      </c>
      <c r="AE36">
        <v>774.12</v>
      </c>
    </row>
    <row r="37" spans="1:31" x14ac:dyDescent="0.3">
      <c r="A37" t="s">
        <v>15</v>
      </c>
      <c r="B37">
        <v>2002</v>
      </c>
      <c r="C37">
        <v>4036.82</v>
      </c>
      <c r="D37">
        <v>1479.92</v>
      </c>
      <c r="E37" t="s">
        <v>8</v>
      </c>
      <c r="J37" s="3" t="s">
        <v>6</v>
      </c>
      <c r="K37">
        <v>4540.8719545454533</v>
      </c>
      <c r="AA37" s="3" t="s">
        <v>14</v>
      </c>
      <c r="AB37">
        <v>7976.56</v>
      </c>
      <c r="AD37" s="3" t="s">
        <v>14</v>
      </c>
      <c r="AE37">
        <v>1859.25</v>
      </c>
    </row>
    <row r="38" spans="1:31" x14ac:dyDescent="0.3">
      <c r="A38" t="s">
        <v>20</v>
      </c>
      <c r="B38">
        <v>2000</v>
      </c>
      <c r="C38">
        <v>3588.81</v>
      </c>
      <c r="D38">
        <v>5645.74</v>
      </c>
      <c r="E38" t="str">
        <f>E39</f>
        <v>North America</v>
      </c>
      <c r="J38" s="3" t="s">
        <v>14</v>
      </c>
      <c r="K38">
        <v>4389.5681249999998</v>
      </c>
      <c r="AA38" s="3" t="s">
        <v>25</v>
      </c>
      <c r="AB38">
        <v>7976.56</v>
      </c>
      <c r="AD38" s="3" t="s">
        <v>25</v>
      </c>
      <c r="AE38">
        <v>534.74</v>
      </c>
    </row>
    <row r="39" spans="1:31" x14ac:dyDescent="0.3">
      <c r="A39" t="s">
        <v>20</v>
      </c>
      <c r="B39">
        <v>2000</v>
      </c>
      <c r="C39">
        <v>3116.51</v>
      </c>
      <c r="D39">
        <v>4978.3</v>
      </c>
      <c r="E39" t="s">
        <v>18</v>
      </c>
      <c r="J39" s="3" t="s">
        <v>25</v>
      </c>
      <c r="K39">
        <v>4245.3645025125643</v>
      </c>
    </row>
    <row r="40" spans="1:31" x14ac:dyDescent="0.3">
      <c r="A40" t="s">
        <v>16</v>
      </c>
      <c r="B40">
        <v>2018</v>
      </c>
      <c r="C40">
        <v>7471.47</v>
      </c>
      <c r="D40">
        <v>1857.08</v>
      </c>
      <c r="E40" t="s">
        <v>8</v>
      </c>
    </row>
    <row r="41" spans="1:31" x14ac:dyDescent="0.3">
      <c r="A41" t="s">
        <v>20</v>
      </c>
      <c r="B41">
        <v>2010</v>
      </c>
      <c r="C41">
        <v>6729.65</v>
      </c>
      <c r="D41">
        <v>943.71</v>
      </c>
      <c r="E41" t="s">
        <v>18</v>
      </c>
    </row>
    <row r="42" spans="1:31" x14ac:dyDescent="0.3">
      <c r="A42" t="s">
        <v>5</v>
      </c>
      <c r="B42">
        <v>2004</v>
      </c>
      <c r="C42">
        <v>7737.7</v>
      </c>
      <c r="D42">
        <v>4891.3</v>
      </c>
      <c r="E42" t="s">
        <v>6</v>
      </c>
    </row>
    <row r="43" spans="1:31" x14ac:dyDescent="0.3">
      <c r="A43" t="s">
        <v>7</v>
      </c>
      <c r="B43">
        <v>2011</v>
      </c>
      <c r="C43">
        <v>1432.23</v>
      </c>
      <c r="D43">
        <v>4719.7700000000004</v>
      </c>
      <c r="E43" t="s">
        <v>8</v>
      </c>
    </row>
    <row r="44" spans="1:31" x14ac:dyDescent="0.3">
      <c r="A44" t="s">
        <v>22</v>
      </c>
      <c r="B44">
        <v>2002</v>
      </c>
      <c r="C44">
        <v>5981.51</v>
      </c>
      <c r="D44">
        <v>2203.5100000000002</v>
      </c>
      <c r="E44" t="s">
        <v>10</v>
      </c>
    </row>
    <row r="45" spans="1:31" x14ac:dyDescent="0.3">
      <c r="A45" t="s">
        <v>16</v>
      </c>
      <c r="B45">
        <v>2000</v>
      </c>
      <c r="C45">
        <v>7537.55</v>
      </c>
      <c r="D45">
        <v>6675.7</v>
      </c>
      <c r="E45" t="s">
        <v>8</v>
      </c>
    </row>
    <row r="46" spans="1:31" x14ac:dyDescent="0.3">
      <c r="A46" t="s">
        <v>13</v>
      </c>
      <c r="B46">
        <v>2000</v>
      </c>
      <c r="C46">
        <v>1859.25</v>
      </c>
      <c r="D46">
        <v>1396.98</v>
      </c>
      <c r="E46" t="s">
        <v>14</v>
      </c>
    </row>
    <row r="47" spans="1:31" x14ac:dyDescent="0.3">
      <c r="A47" t="s">
        <v>16</v>
      </c>
      <c r="B47">
        <v>2007</v>
      </c>
      <c r="C47">
        <v>998.72</v>
      </c>
      <c r="D47">
        <v>3253.41</v>
      </c>
      <c r="E47" t="s">
        <v>8</v>
      </c>
    </row>
    <row r="48" spans="1:31" x14ac:dyDescent="0.3">
      <c r="A48" t="s">
        <v>5</v>
      </c>
      <c r="B48">
        <v>2009</v>
      </c>
      <c r="C48">
        <v>6058.4</v>
      </c>
      <c r="D48">
        <v>6627.87</v>
      </c>
      <c r="E48" t="s">
        <v>6</v>
      </c>
      <c r="J48" s="2" t="s">
        <v>24</v>
      </c>
      <c r="K48" t="s">
        <v>28</v>
      </c>
    </row>
    <row r="49" spans="1:28" x14ac:dyDescent="0.3">
      <c r="A49" t="s">
        <v>13</v>
      </c>
      <c r="B49">
        <v>2010</v>
      </c>
      <c r="C49">
        <v>4808.55</v>
      </c>
      <c r="D49">
        <v>3170.2</v>
      </c>
      <c r="E49" t="s">
        <v>14</v>
      </c>
      <c r="J49" s="3" t="s">
        <v>12</v>
      </c>
      <c r="K49">
        <v>3963.173888888889</v>
      </c>
    </row>
    <row r="50" spans="1:28" x14ac:dyDescent="0.3">
      <c r="A50" t="s">
        <v>22</v>
      </c>
      <c r="B50">
        <v>2011</v>
      </c>
      <c r="C50">
        <v>6813.72</v>
      </c>
      <c r="D50">
        <v>4614.2700000000004</v>
      </c>
      <c r="E50" t="s">
        <v>10</v>
      </c>
      <c r="J50" s="3" t="s">
        <v>8</v>
      </c>
      <c r="K50">
        <v>3645.2931914893616</v>
      </c>
    </row>
    <row r="51" spans="1:28" x14ac:dyDescent="0.3">
      <c r="A51" t="s">
        <v>5</v>
      </c>
      <c r="B51">
        <v>2012</v>
      </c>
      <c r="C51">
        <v>1548.29</v>
      </c>
      <c r="D51">
        <v>3024.12</v>
      </c>
      <c r="E51" t="s">
        <v>6</v>
      </c>
      <c r="J51" s="3" t="s">
        <v>10</v>
      </c>
      <c r="K51">
        <v>3554.3499999999995</v>
      </c>
    </row>
    <row r="52" spans="1:28" x14ac:dyDescent="0.3">
      <c r="A52" t="s">
        <v>19</v>
      </c>
      <c r="B52">
        <v>2011</v>
      </c>
      <c r="C52">
        <v>6464.5</v>
      </c>
      <c r="D52">
        <v>2209.8200000000002</v>
      </c>
      <c r="E52" t="s">
        <v>10</v>
      </c>
      <c r="J52" s="3" t="s">
        <v>18</v>
      </c>
      <c r="K52">
        <v>3750.072941176471</v>
      </c>
    </row>
    <row r="53" spans="1:28" x14ac:dyDescent="0.3">
      <c r="A53" t="s">
        <v>7</v>
      </c>
      <c r="B53">
        <v>2013</v>
      </c>
      <c r="C53">
        <v>2012.2</v>
      </c>
      <c r="D53">
        <v>6894.25</v>
      </c>
      <c r="E53" t="s">
        <v>8</v>
      </c>
      <c r="J53" s="3" t="s">
        <v>6</v>
      </c>
      <c r="K53">
        <v>3913.3959090909079</v>
      </c>
    </row>
    <row r="54" spans="1:28" x14ac:dyDescent="0.3">
      <c r="A54" t="s">
        <v>22</v>
      </c>
      <c r="B54">
        <v>2001</v>
      </c>
      <c r="C54">
        <v>1727.42</v>
      </c>
      <c r="D54">
        <v>3101.6</v>
      </c>
      <c r="E54" t="s">
        <v>10</v>
      </c>
      <c r="J54" s="3" t="s">
        <v>14</v>
      </c>
      <c r="K54">
        <v>3585.0149999999994</v>
      </c>
    </row>
    <row r="55" spans="1:28" x14ac:dyDescent="0.3">
      <c r="A55" t="s">
        <v>20</v>
      </c>
      <c r="B55">
        <v>2018</v>
      </c>
      <c r="C55">
        <v>1731.99</v>
      </c>
      <c r="D55">
        <v>6301.05</v>
      </c>
      <c r="E55" t="s">
        <v>18</v>
      </c>
      <c r="J55" s="3" t="s">
        <v>25</v>
      </c>
      <c r="K55">
        <v>3705.1272864321613</v>
      </c>
    </row>
    <row r="56" spans="1:28" x14ac:dyDescent="0.3">
      <c r="A56" t="s">
        <v>19</v>
      </c>
      <c r="B56">
        <v>2017</v>
      </c>
      <c r="C56">
        <v>6609.31</v>
      </c>
      <c r="D56">
        <v>1917.7</v>
      </c>
      <c r="E56" t="s">
        <v>10</v>
      </c>
    </row>
    <row r="57" spans="1:28" x14ac:dyDescent="0.3">
      <c r="A57" t="s">
        <v>15</v>
      </c>
      <c r="B57">
        <v>2002</v>
      </c>
      <c r="C57">
        <v>5488.98</v>
      </c>
      <c r="D57">
        <v>1806.49</v>
      </c>
      <c r="E57" t="s">
        <v>8</v>
      </c>
    </row>
    <row r="58" spans="1:28" x14ac:dyDescent="0.3">
      <c r="A58" t="s">
        <v>22</v>
      </c>
      <c r="B58">
        <v>2022</v>
      </c>
      <c r="C58">
        <v>4422.99</v>
      </c>
      <c r="D58">
        <v>605.48</v>
      </c>
      <c r="E58" t="s">
        <v>10</v>
      </c>
    </row>
    <row r="59" spans="1:28" x14ac:dyDescent="0.3">
      <c r="A59" t="s">
        <v>15</v>
      </c>
      <c r="B59">
        <v>2016</v>
      </c>
      <c r="C59">
        <v>3191.23</v>
      </c>
      <c r="D59">
        <v>4701</v>
      </c>
      <c r="E59" t="s">
        <v>8</v>
      </c>
    </row>
    <row r="60" spans="1:28" x14ac:dyDescent="0.3">
      <c r="A60" t="s">
        <v>13</v>
      </c>
      <c r="B60">
        <v>2007</v>
      </c>
      <c r="C60">
        <v>7079</v>
      </c>
      <c r="D60">
        <v>2832.27</v>
      </c>
      <c r="E60" t="s">
        <v>14</v>
      </c>
    </row>
    <row r="61" spans="1:28" x14ac:dyDescent="0.3">
      <c r="A61" t="s">
        <v>19</v>
      </c>
      <c r="B61">
        <v>2009</v>
      </c>
      <c r="C61">
        <v>3443.34</v>
      </c>
      <c r="D61">
        <v>6104.76</v>
      </c>
      <c r="E61" t="s">
        <v>10</v>
      </c>
    </row>
    <row r="62" spans="1:28" x14ac:dyDescent="0.3">
      <c r="A62" t="s">
        <v>7</v>
      </c>
      <c r="B62">
        <v>2001</v>
      </c>
      <c r="C62">
        <v>6624.5</v>
      </c>
      <c r="D62">
        <v>3523.19</v>
      </c>
      <c r="E62" t="s">
        <v>8</v>
      </c>
    </row>
    <row r="63" spans="1:28" x14ac:dyDescent="0.3">
      <c r="A63" t="s">
        <v>20</v>
      </c>
      <c r="B63">
        <v>2018</v>
      </c>
      <c r="C63">
        <v>3793.51</v>
      </c>
      <c r="D63">
        <v>6790.08</v>
      </c>
      <c r="E63" t="s">
        <v>18</v>
      </c>
    </row>
    <row r="64" spans="1:28" x14ac:dyDescent="0.3">
      <c r="A64" t="s">
        <v>20</v>
      </c>
      <c r="B64">
        <v>2008</v>
      </c>
      <c r="C64">
        <v>3327.08</v>
      </c>
      <c r="D64">
        <v>1624.47</v>
      </c>
      <c r="E64" t="s">
        <v>18</v>
      </c>
      <c r="AA64" s="2" t="s">
        <v>27</v>
      </c>
      <c r="AB64" s="2" t="s">
        <v>26</v>
      </c>
    </row>
    <row r="65" spans="1:34" x14ac:dyDescent="0.3">
      <c r="A65" t="s">
        <v>5</v>
      </c>
      <c r="B65">
        <v>2006</v>
      </c>
      <c r="C65">
        <v>3970.1</v>
      </c>
      <c r="D65">
        <v>6132.91</v>
      </c>
      <c r="E65" t="s">
        <v>6</v>
      </c>
      <c r="J65" s="2" t="s">
        <v>28</v>
      </c>
      <c r="K65" s="2" t="s">
        <v>26</v>
      </c>
      <c r="AA65" s="2" t="s">
        <v>24</v>
      </c>
      <c r="AB65" t="s">
        <v>12</v>
      </c>
      <c r="AC65" t="s">
        <v>8</v>
      </c>
      <c r="AD65" t="s">
        <v>10</v>
      </c>
      <c r="AE65" t="s">
        <v>18</v>
      </c>
      <c r="AF65" t="s">
        <v>6</v>
      </c>
      <c r="AG65" t="s">
        <v>14</v>
      </c>
      <c r="AH65" t="s">
        <v>25</v>
      </c>
    </row>
    <row r="66" spans="1:34" x14ac:dyDescent="0.3">
      <c r="A66" t="s">
        <v>20</v>
      </c>
      <c r="B66">
        <v>2003</v>
      </c>
      <c r="C66">
        <v>2760.33</v>
      </c>
      <c r="D66">
        <v>5525.54</v>
      </c>
      <c r="E66" t="s">
        <v>18</v>
      </c>
      <c r="J66" s="2" t="s">
        <v>24</v>
      </c>
      <c r="K66" t="s">
        <v>12</v>
      </c>
      <c r="L66" t="s">
        <v>8</v>
      </c>
      <c r="M66" t="s">
        <v>10</v>
      </c>
      <c r="N66" t="s">
        <v>18</v>
      </c>
      <c r="O66" t="s">
        <v>6</v>
      </c>
      <c r="P66" t="s">
        <v>14</v>
      </c>
      <c r="Q66" t="s">
        <v>25</v>
      </c>
      <c r="AA66" s="3">
        <v>2000</v>
      </c>
      <c r="AB66">
        <v>4859.29</v>
      </c>
      <c r="AC66">
        <v>6117.4250000000002</v>
      </c>
      <c r="AD66">
        <v>4787.1000000000004</v>
      </c>
      <c r="AE66">
        <v>4340.5933333333332</v>
      </c>
      <c r="AF66">
        <v>7361.34</v>
      </c>
      <c r="AG66">
        <v>1859.25</v>
      </c>
      <c r="AH66">
        <v>4902.623333333333</v>
      </c>
    </row>
    <row r="67" spans="1:34" x14ac:dyDescent="0.3">
      <c r="A67" t="s">
        <v>11</v>
      </c>
      <c r="B67">
        <v>2020</v>
      </c>
      <c r="C67">
        <v>6107.07</v>
      </c>
      <c r="D67">
        <v>5488.08</v>
      </c>
      <c r="E67" t="s">
        <v>12</v>
      </c>
      <c r="J67" s="3">
        <v>2000</v>
      </c>
      <c r="K67">
        <v>6794.59</v>
      </c>
      <c r="L67">
        <v>3972.0249999999996</v>
      </c>
      <c r="M67">
        <v>4940.05</v>
      </c>
      <c r="N67">
        <v>5681.88</v>
      </c>
      <c r="O67">
        <v>1716.98</v>
      </c>
      <c r="P67">
        <v>1396.98</v>
      </c>
      <c r="Q67">
        <v>4426.4766666666674</v>
      </c>
      <c r="AA67" s="3">
        <v>2001</v>
      </c>
      <c r="AC67">
        <v>4471.2849999999999</v>
      </c>
      <c r="AD67">
        <v>1727.42</v>
      </c>
      <c r="AE67">
        <v>4474.4549999999999</v>
      </c>
      <c r="AH67">
        <v>3923.78</v>
      </c>
    </row>
    <row r="68" spans="1:34" x14ac:dyDescent="0.3">
      <c r="A68" t="s">
        <v>16</v>
      </c>
      <c r="B68">
        <v>2017</v>
      </c>
      <c r="C68">
        <v>4270.3999999999996</v>
      </c>
      <c r="D68">
        <v>5975.57</v>
      </c>
      <c r="E68" t="s">
        <v>8</v>
      </c>
      <c r="J68" s="3">
        <v>2001</v>
      </c>
      <c r="L68">
        <v>4010.6149999999998</v>
      </c>
      <c r="M68">
        <v>3101.6</v>
      </c>
      <c r="N68">
        <v>4828.6100000000006</v>
      </c>
      <c r="Q68">
        <v>4156.01</v>
      </c>
      <c r="AA68" s="3">
        <v>2002</v>
      </c>
      <c r="AC68">
        <v>2998.5349999999999</v>
      </c>
      <c r="AD68">
        <v>5981.51</v>
      </c>
      <c r="AE68">
        <v>2506.1666666666665</v>
      </c>
      <c r="AH68">
        <v>3149.1220000000003</v>
      </c>
    </row>
    <row r="69" spans="1:34" x14ac:dyDescent="0.3">
      <c r="A69" t="s">
        <v>21</v>
      </c>
      <c r="B69">
        <v>2012</v>
      </c>
      <c r="C69">
        <v>2241.6</v>
      </c>
      <c r="D69">
        <v>5422.76</v>
      </c>
      <c r="E69" t="s">
        <v>18</v>
      </c>
      <c r="J69" s="3">
        <v>2002</v>
      </c>
      <c r="L69">
        <v>3576.4116666666669</v>
      </c>
      <c r="M69">
        <v>2203.5100000000002</v>
      </c>
      <c r="N69">
        <v>3336.6533333333332</v>
      </c>
      <c r="Q69">
        <v>3367.1940000000004</v>
      </c>
      <c r="AA69" s="3">
        <v>2003</v>
      </c>
      <c r="AB69">
        <v>4862.78</v>
      </c>
      <c r="AD69">
        <v>6192.9849999999997</v>
      </c>
      <c r="AE69">
        <v>3783.4379999999996</v>
      </c>
      <c r="AF69">
        <v>4675.72</v>
      </c>
      <c r="AH69">
        <v>4597.0199999999995</v>
      </c>
    </row>
    <row r="70" spans="1:34" x14ac:dyDescent="0.3">
      <c r="A70" t="s">
        <v>7</v>
      </c>
      <c r="B70">
        <v>2010</v>
      </c>
      <c r="C70">
        <v>7246.81</v>
      </c>
      <c r="D70">
        <v>4533.05</v>
      </c>
      <c r="E70" t="s">
        <v>8</v>
      </c>
      <c r="J70" s="3">
        <v>2003</v>
      </c>
      <c r="K70">
        <v>2592.4433333333332</v>
      </c>
      <c r="M70">
        <v>2646.835</v>
      </c>
      <c r="N70">
        <v>4403.634</v>
      </c>
      <c r="O70">
        <v>6585.71</v>
      </c>
      <c r="Q70">
        <v>3788.6254545454544</v>
      </c>
      <c r="AA70" s="3">
        <v>2004</v>
      </c>
      <c r="AB70">
        <v>3690.77</v>
      </c>
      <c r="AC70">
        <v>3891.63</v>
      </c>
      <c r="AD70">
        <v>3447.5433333333331</v>
      </c>
      <c r="AE70">
        <v>5828.6450000000004</v>
      </c>
      <c r="AF70">
        <v>4961.12</v>
      </c>
      <c r="AG70">
        <v>4483.6049999999996</v>
      </c>
      <c r="AH70">
        <v>4406.5245454545457</v>
      </c>
    </row>
    <row r="71" spans="1:34" x14ac:dyDescent="0.3">
      <c r="A71" t="s">
        <v>19</v>
      </c>
      <c r="B71">
        <v>2023</v>
      </c>
      <c r="C71">
        <v>3379.18</v>
      </c>
      <c r="D71">
        <v>1266.22</v>
      </c>
      <c r="E71" t="s">
        <v>10</v>
      </c>
      <c r="J71" s="3">
        <v>2004</v>
      </c>
      <c r="K71">
        <v>4242.33</v>
      </c>
      <c r="L71">
        <v>3688.09</v>
      </c>
      <c r="M71">
        <v>1765.5933333333332</v>
      </c>
      <c r="N71">
        <v>2418.31</v>
      </c>
      <c r="O71">
        <v>4478.3500000000004</v>
      </c>
      <c r="P71">
        <v>3795.42</v>
      </c>
      <c r="Q71">
        <v>3146.4872727272727</v>
      </c>
      <c r="AA71" s="3">
        <v>2005</v>
      </c>
      <c r="AD71">
        <v>1639.635</v>
      </c>
      <c r="AE71">
        <v>3893.3</v>
      </c>
      <c r="AF71">
        <v>6963.39</v>
      </c>
      <c r="AG71">
        <v>6521.4</v>
      </c>
      <c r="AH71">
        <v>4131.4719999999998</v>
      </c>
    </row>
    <row r="72" spans="1:34" x14ac:dyDescent="0.3">
      <c r="A72" t="s">
        <v>11</v>
      </c>
      <c r="B72">
        <v>2003</v>
      </c>
      <c r="C72">
        <v>4576.6499999999996</v>
      </c>
      <c r="D72">
        <v>614.66999999999996</v>
      </c>
      <c r="E72" t="s">
        <v>12</v>
      </c>
      <c r="J72" s="3">
        <v>2005</v>
      </c>
      <c r="M72">
        <v>5213.1499999999996</v>
      </c>
      <c r="N72">
        <v>5146.7299999999996</v>
      </c>
      <c r="O72">
        <v>1585.91</v>
      </c>
      <c r="P72">
        <v>2030.88</v>
      </c>
      <c r="Q72">
        <v>3837.9639999999999</v>
      </c>
      <c r="AA72" s="3">
        <v>2006</v>
      </c>
      <c r="AB72">
        <v>2837.92</v>
      </c>
      <c r="AC72">
        <v>4293.4999999999991</v>
      </c>
      <c r="AD72">
        <v>598.21</v>
      </c>
      <c r="AE72">
        <v>4490.5410000000002</v>
      </c>
      <c r="AF72">
        <v>4156.8866666666663</v>
      </c>
      <c r="AH72">
        <v>3841.7193636363636</v>
      </c>
    </row>
    <row r="73" spans="1:34" x14ac:dyDescent="0.3">
      <c r="A73" t="s">
        <v>7</v>
      </c>
      <c r="B73">
        <v>2020</v>
      </c>
      <c r="C73">
        <v>7298.54</v>
      </c>
      <c r="D73">
        <v>6477.6</v>
      </c>
      <c r="E73" t="s">
        <v>8</v>
      </c>
      <c r="J73" s="3">
        <v>2006</v>
      </c>
      <c r="K73">
        <v>5663.89</v>
      </c>
      <c r="L73">
        <v>1169.8233333333335</v>
      </c>
      <c r="M73">
        <v>2100.71</v>
      </c>
      <c r="N73">
        <v>3960.2533333333336</v>
      </c>
      <c r="O73">
        <v>5185.13</v>
      </c>
      <c r="Q73">
        <v>3519.110909090909</v>
      </c>
      <c r="AA73" s="3">
        <v>2007</v>
      </c>
      <c r="AC73">
        <v>1410.81</v>
      </c>
      <c r="AD73">
        <v>4530.47</v>
      </c>
      <c r="AE73">
        <v>4040.5</v>
      </c>
      <c r="AG73">
        <v>7079</v>
      </c>
      <c r="AH73">
        <v>3694.3180000000002</v>
      </c>
    </row>
    <row r="74" spans="1:34" x14ac:dyDescent="0.3">
      <c r="A74" t="s">
        <v>19</v>
      </c>
      <c r="B74">
        <v>2003</v>
      </c>
      <c r="C74">
        <v>5181.78</v>
      </c>
      <c r="D74">
        <v>4469.8900000000003</v>
      </c>
      <c r="E74" t="s">
        <v>10</v>
      </c>
      <c r="J74" s="3">
        <v>2007</v>
      </c>
      <c r="L74">
        <v>5114.6049999999996</v>
      </c>
      <c r="M74">
        <v>6840.71</v>
      </c>
      <c r="N74">
        <v>3183.36</v>
      </c>
      <c r="P74">
        <v>2832.27</v>
      </c>
      <c r="Q74">
        <v>4617.1099999999997</v>
      </c>
      <c r="AA74" s="3">
        <v>2008</v>
      </c>
      <c r="AC74">
        <v>4413.3233333333337</v>
      </c>
      <c r="AD74">
        <v>6299.3600000000006</v>
      </c>
      <c r="AE74">
        <v>2857.7849999999999</v>
      </c>
      <c r="AH74">
        <v>4731.7025000000003</v>
      </c>
    </row>
    <row r="75" spans="1:34" x14ac:dyDescent="0.3">
      <c r="A75" t="s">
        <v>17</v>
      </c>
      <c r="B75">
        <v>2009</v>
      </c>
      <c r="C75">
        <v>1376.74</v>
      </c>
      <c r="D75">
        <v>5657.15</v>
      </c>
      <c r="E75" t="s">
        <v>18</v>
      </c>
      <c r="J75" s="3">
        <v>2008</v>
      </c>
      <c r="L75">
        <v>2216.8233333333333</v>
      </c>
      <c r="M75">
        <v>4040.2566666666667</v>
      </c>
      <c r="N75">
        <v>2859.0749999999998</v>
      </c>
      <c r="Q75">
        <v>3061.1737500000004</v>
      </c>
      <c r="AA75" s="3">
        <v>2009</v>
      </c>
      <c r="AD75">
        <v>5421.13</v>
      </c>
      <c r="AE75">
        <v>3171.0650000000001</v>
      </c>
      <c r="AF75">
        <v>6040.8649999999998</v>
      </c>
      <c r="AG75">
        <v>3491.6666666666665</v>
      </c>
      <c r="AH75">
        <v>4415.68</v>
      </c>
    </row>
    <row r="76" spans="1:34" x14ac:dyDescent="0.3">
      <c r="A76" t="s">
        <v>17</v>
      </c>
      <c r="B76">
        <v>2004</v>
      </c>
      <c r="C76">
        <v>7548.74</v>
      </c>
      <c r="D76">
        <v>3578.05</v>
      </c>
      <c r="E76" t="s">
        <v>18</v>
      </c>
      <c r="J76" s="3">
        <v>2009</v>
      </c>
      <c r="M76">
        <v>4364.1350000000002</v>
      </c>
      <c r="N76">
        <v>3160.9349999999999</v>
      </c>
      <c r="O76">
        <v>6388.1350000000002</v>
      </c>
      <c r="P76">
        <v>5484.8566666666666</v>
      </c>
      <c r="Q76">
        <v>4920.108888888888</v>
      </c>
      <c r="AA76" s="3">
        <v>2010</v>
      </c>
      <c r="AB76">
        <v>6791.74</v>
      </c>
      <c r="AC76">
        <v>7246.81</v>
      </c>
      <c r="AE76">
        <v>4082.31</v>
      </c>
      <c r="AG76">
        <v>4808.55</v>
      </c>
      <c r="AH76">
        <v>5402.3439999999991</v>
      </c>
    </row>
    <row r="77" spans="1:34" x14ac:dyDescent="0.3">
      <c r="A77" t="s">
        <v>15</v>
      </c>
      <c r="B77">
        <v>2008</v>
      </c>
      <c r="C77">
        <v>5207.8100000000004</v>
      </c>
      <c r="D77">
        <v>1174.23</v>
      </c>
      <c r="E77" t="s">
        <v>8</v>
      </c>
      <c r="J77" s="3">
        <v>2010</v>
      </c>
      <c r="K77">
        <v>6305.79</v>
      </c>
      <c r="L77">
        <v>4533.05</v>
      </c>
      <c r="N77">
        <v>2478.91</v>
      </c>
      <c r="P77">
        <v>3170.2</v>
      </c>
      <c r="Q77">
        <v>3793.3720000000003</v>
      </c>
      <c r="AA77" s="3">
        <v>2011</v>
      </c>
      <c r="AB77">
        <v>4421.3966666666665</v>
      </c>
      <c r="AC77">
        <v>1171.47</v>
      </c>
      <c r="AD77">
        <v>5155.0124999999998</v>
      </c>
      <c r="AE77">
        <v>5519.1966666666667</v>
      </c>
      <c r="AF77">
        <v>7040.93</v>
      </c>
      <c r="AH77">
        <v>4601.9769230769234</v>
      </c>
    </row>
    <row r="78" spans="1:34" x14ac:dyDescent="0.3">
      <c r="A78" t="s">
        <v>7</v>
      </c>
      <c r="B78">
        <v>2023</v>
      </c>
      <c r="C78">
        <v>3011.79</v>
      </c>
      <c r="D78">
        <v>1226.23</v>
      </c>
      <c r="E78" t="s">
        <v>8</v>
      </c>
      <c r="J78" s="3">
        <v>2011</v>
      </c>
      <c r="K78">
        <v>3396.18</v>
      </c>
      <c r="L78">
        <v>2829.2650000000003</v>
      </c>
      <c r="M78">
        <v>3180.0150000000003</v>
      </c>
      <c r="N78">
        <v>3883.8900000000008</v>
      </c>
      <c r="O78">
        <v>1720.99</v>
      </c>
      <c r="Q78">
        <v>3226.1376923076919</v>
      </c>
      <c r="AA78" s="3">
        <v>2012</v>
      </c>
      <c r="AB78">
        <v>3299.82</v>
      </c>
      <c r="AC78">
        <v>6355.9699999999993</v>
      </c>
      <c r="AD78">
        <v>4077.2900000000004</v>
      </c>
      <c r="AE78">
        <v>2241.6</v>
      </c>
      <c r="AF78">
        <v>3139.1876666666662</v>
      </c>
      <c r="AG78">
        <v>3065.61</v>
      </c>
      <c r="AH78">
        <v>3942.8766428571425</v>
      </c>
    </row>
    <row r="79" spans="1:34" x14ac:dyDescent="0.3">
      <c r="A79" t="s">
        <v>17</v>
      </c>
      <c r="B79">
        <v>2002</v>
      </c>
      <c r="C79">
        <v>1544.54</v>
      </c>
      <c r="D79">
        <v>4924.7299999999996</v>
      </c>
      <c r="E79" t="s">
        <v>18</v>
      </c>
      <c r="J79" s="3">
        <v>2012</v>
      </c>
      <c r="K79">
        <v>6811.21</v>
      </c>
      <c r="L79">
        <v>4320.0050000000001</v>
      </c>
      <c r="M79">
        <v>4334.5199999999995</v>
      </c>
      <c r="N79">
        <v>5422.76</v>
      </c>
      <c r="O79">
        <v>3187.6933333333332</v>
      </c>
      <c r="P79">
        <v>4360.1400000000003</v>
      </c>
      <c r="Q79">
        <v>4343.1657142857148</v>
      </c>
      <c r="AA79" s="3">
        <v>2013</v>
      </c>
      <c r="AB79">
        <v>7441.76</v>
      </c>
      <c r="AC79">
        <v>2012.2</v>
      </c>
      <c r="AE79">
        <v>3506.39</v>
      </c>
      <c r="AF79">
        <v>3242.58</v>
      </c>
      <c r="AH79">
        <v>3889.1020000000003</v>
      </c>
    </row>
    <row r="80" spans="1:34" x14ac:dyDescent="0.3">
      <c r="A80" t="s">
        <v>19</v>
      </c>
      <c r="B80">
        <v>2016</v>
      </c>
      <c r="C80">
        <v>6455.19</v>
      </c>
      <c r="D80">
        <v>3240.02</v>
      </c>
      <c r="E80" t="s">
        <v>10</v>
      </c>
      <c r="J80" s="3">
        <v>2013</v>
      </c>
      <c r="K80">
        <v>5691.41</v>
      </c>
      <c r="L80">
        <v>6894.25</v>
      </c>
      <c r="N80">
        <v>2714.14</v>
      </c>
      <c r="O80">
        <v>3629.92</v>
      </c>
      <c r="Q80">
        <v>4511.9279999999999</v>
      </c>
      <c r="AA80" s="3">
        <v>2014</v>
      </c>
      <c r="AC80">
        <v>4337.18</v>
      </c>
      <c r="AD80">
        <v>5330</v>
      </c>
      <c r="AH80">
        <v>4668.12</v>
      </c>
    </row>
    <row r="81" spans="1:34" x14ac:dyDescent="0.3">
      <c r="A81" t="s">
        <v>15</v>
      </c>
      <c r="B81">
        <v>2002</v>
      </c>
      <c r="C81">
        <v>5150.55</v>
      </c>
      <c r="D81">
        <v>1723.46</v>
      </c>
      <c r="E81" t="s">
        <v>8</v>
      </c>
      <c r="J81" s="3">
        <v>2014</v>
      </c>
      <c r="L81">
        <v>3202.4949999999999</v>
      </c>
      <c r="M81">
        <v>6038.94</v>
      </c>
      <c r="Q81">
        <v>4147.9766666666665</v>
      </c>
      <c r="AA81" s="3">
        <v>2015</v>
      </c>
      <c r="AB81">
        <v>1644.04</v>
      </c>
      <c r="AD81">
        <v>1624.38</v>
      </c>
      <c r="AE81">
        <v>2765.8475000000003</v>
      </c>
      <c r="AF81">
        <v>1781.66</v>
      </c>
      <c r="AG81">
        <v>3232.186666666667</v>
      </c>
      <c r="AH81">
        <v>2581.0029999999997</v>
      </c>
    </row>
    <row r="82" spans="1:34" x14ac:dyDescent="0.3">
      <c r="A82" t="s">
        <v>20</v>
      </c>
      <c r="B82">
        <v>2015</v>
      </c>
      <c r="C82">
        <v>4500.96</v>
      </c>
      <c r="D82">
        <v>3644.52</v>
      </c>
      <c r="E82" t="s">
        <v>18</v>
      </c>
      <c r="J82" s="3">
        <v>2015</v>
      </c>
      <c r="K82">
        <v>6579</v>
      </c>
      <c r="M82">
        <v>1092.54</v>
      </c>
      <c r="N82">
        <v>2644.3049999999998</v>
      </c>
      <c r="O82">
        <v>4575.3</v>
      </c>
      <c r="P82">
        <v>3345.3366666666666</v>
      </c>
      <c r="Q82">
        <v>3286.0070000000001</v>
      </c>
      <c r="AA82" s="3">
        <v>2016</v>
      </c>
      <c r="AC82">
        <v>2414.395</v>
      </c>
      <c r="AD82">
        <v>5189.8399999999992</v>
      </c>
      <c r="AE82">
        <v>3630.9625000000001</v>
      </c>
      <c r="AF82">
        <v>5241.9799999999996</v>
      </c>
      <c r="AG82">
        <v>6218.44</v>
      </c>
      <c r="AH82">
        <v>4216.5981818181817</v>
      </c>
    </row>
    <row r="83" spans="1:34" x14ac:dyDescent="0.3">
      <c r="A83" t="s">
        <v>19</v>
      </c>
      <c r="B83">
        <v>2003</v>
      </c>
      <c r="C83">
        <v>7204.19</v>
      </c>
      <c r="D83">
        <v>823.78</v>
      </c>
      <c r="E83" t="s">
        <v>10</v>
      </c>
      <c r="J83" s="3">
        <v>2016</v>
      </c>
      <c r="L83">
        <v>3438.1800000000003</v>
      </c>
      <c r="M83">
        <v>3833.66</v>
      </c>
      <c r="N83">
        <v>2587.4449999999997</v>
      </c>
      <c r="O83">
        <v>602.30999999999995</v>
      </c>
      <c r="P83">
        <v>2990.46</v>
      </c>
      <c r="Q83">
        <v>2938.1718181818183</v>
      </c>
      <c r="AA83" s="3">
        <v>2017</v>
      </c>
      <c r="AC83">
        <v>3929.2974999999997</v>
      </c>
      <c r="AD83">
        <v>6327.6366666666663</v>
      </c>
      <c r="AH83">
        <v>4957.1571428571424</v>
      </c>
    </row>
    <row r="84" spans="1:34" x14ac:dyDescent="0.3">
      <c r="A84" t="s">
        <v>15</v>
      </c>
      <c r="B84">
        <v>2017</v>
      </c>
      <c r="C84">
        <v>6414.48</v>
      </c>
      <c r="D84">
        <v>4241.01</v>
      </c>
      <c r="E84" t="s">
        <v>8</v>
      </c>
      <c r="J84" s="3">
        <v>2017</v>
      </c>
      <c r="L84">
        <v>5498.2950000000001</v>
      </c>
      <c r="M84">
        <v>3697.0066666666667</v>
      </c>
      <c r="Q84">
        <v>4726.3142857142866</v>
      </c>
      <c r="AA84" s="3">
        <v>2018</v>
      </c>
      <c r="AB84">
        <v>3092.72</v>
      </c>
      <c r="AC84">
        <v>5060.5524999999998</v>
      </c>
      <c r="AD84">
        <v>2664.73</v>
      </c>
      <c r="AE84">
        <v>2176.19</v>
      </c>
      <c r="AF84">
        <v>5900.27</v>
      </c>
      <c r="AH84">
        <v>3842.85</v>
      </c>
    </row>
    <row r="85" spans="1:34" x14ac:dyDescent="0.3">
      <c r="A85" t="s">
        <v>7</v>
      </c>
      <c r="B85">
        <v>2016</v>
      </c>
      <c r="C85">
        <v>1637.56</v>
      </c>
      <c r="D85">
        <v>2175.36</v>
      </c>
      <c r="E85" t="s">
        <v>8</v>
      </c>
      <c r="J85" s="3">
        <v>2018</v>
      </c>
      <c r="K85">
        <v>464.49</v>
      </c>
      <c r="L85">
        <v>1972.94</v>
      </c>
      <c r="M85">
        <v>6825.03</v>
      </c>
      <c r="N85">
        <v>6404.5133333333333</v>
      </c>
      <c r="O85">
        <v>1340.47</v>
      </c>
      <c r="Q85">
        <v>3573.5289999999995</v>
      </c>
      <c r="AA85" s="3">
        <v>2019</v>
      </c>
      <c r="AB85">
        <v>3965.04</v>
      </c>
      <c r="AC85">
        <v>6705.4433333333336</v>
      </c>
      <c r="AD85">
        <v>2409.8000000000002</v>
      </c>
      <c r="AE85">
        <v>3920.5</v>
      </c>
      <c r="AF85">
        <v>774.12</v>
      </c>
      <c r="AH85">
        <v>4388.2862500000001</v>
      </c>
    </row>
    <row r="86" spans="1:34" x14ac:dyDescent="0.3">
      <c r="A86" t="s">
        <v>11</v>
      </c>
      <c r="B86">
        <v>2006</v>
      </c>
      <c r="C86">
        <v>2837.92</v>
      </c>
      <c r="D86">
        <v>5663.89</v>
      </c>
      <c r="E86" t="s">
        <v>12</v>
      </c>
      <c r="J86" s="3">
        <v>2019</v>
      </c>
      <c r="K86">
        <v>619.14</v>
      </c>
      <c r="L86">
        <v>2601.56</v>
      </c>
      <c r="M86">
        <v>2205.94</v>
      </c>
      <c r="N86">
        <v>2136.625</v>
      </c>
      <c r="O86">
        <v>6344.63</v>
      </c>
      <c r="Q86">
        <v>2655.9549999999999</v>
      </c>
      <c r="AA86" s="3">
        <v>2020</v>
      </c>
      <c r="AB86">
        <v>6107.07</v>
      </c>
      <c r="AC86">
        <v>4892.6066666666666</v>
      </c>
      <c r="AD86">
        <v>4516.335</v>
      </c>
      <c r="AE86">
        <v>3680.98</v>
      </c>
      <c r="AF86">
        <v>7418.75</v>
      </c>
      <c r="AG86">
        <v>3565.51</v>
      </c>
      <c r="AH86">
        <v>4942.5333333333338</v>
      </c>
    </row>
    <row r="87" spans="1:34" x14ac:dyDescent="0.3">
      <c r="A87" t="s">
        <v>5</v>
      </c>
      <c r="B87">
        <v>2023</v>
      </c>
      <c r="C87">
        <v>2363.67</v>
      </c>
      <c r="D87">
        <v>2448.39</v>
      </c>
      <c r="E87" t="s">
        <v>6</v>
      </c>
      <c r="J87" s="3">
        <v>2020</v>
      </c>
      <c r="K87">
        <v>5488.08</v>
      </c>
      <c r="L87">
        <v>6476.2000000000007</v>
      </c>
      <c r="M87">
        <v>2617.96</v>
      </c>
      <c r="N87">
        <v>5079.8</v>
      </c>
      <c r="O87">
        <v>5062.74</v>
      </c>
      <c r="P87">
        <v>3649.03</v>
      </c>
      <c r="Q87">
        <v>4882.6855555555558</v>
      </c>
      <c r="AA87" s="3">
        <v>2021</v>
      </c>
      <c r="AC87">
        <v>2299.3650000000002</v>
      </c>
      <c r="AD87">
        <v>3217.95</v>
      </c>
      <c r="AE87">
        <v>2219.39</v>
      </c>
      <c r="AG87">
        <v>7976.56</v>
      </c>
      <c r="AH87">
        <v>3602.5260000000003</v>
      </c>
    </row>
    <row r="88" spans="1:34" x14ac:dyDescent="0.3">
      <c r="A88" t="s">
        <v>20</v>
      </c>
      <c r="B88">
        <v>2022</v>
      </c>
      <c r="C88">
        <v>6079.6</v>
      </c>
      <c r="D88">
        <v>3404.45</v>
      </c>
      <c r="E88" t="s">
        <v>18</v>
      </c>
      <c r="J88" s="3">
        <v>2021</v>
      </c>
      <c r="L88">
        <v>3495.73</v>
      </c>
      <c r="M88">
        <v>4889.51</v>
      </c>
      <c r="N88">
        <v>1997.5</v>
      </c>
      <c r="P88">
        <v>2848.86</v>
      </c>
      <c r="Q88">
        <v>3345.4660000000003</v>
      </c>
      <c r="AA88" s="3">
        <v>2022</v>
      </c>
      <c r="AB88">
        <v>6465.3150000000005</v>
      </c>
      <c r="AC88">
        <v>7924.7</v>
      </c>
      <c r="AD88">
        <v>5767.6733333333332</v>
      </c>
      <c r="AE88">
        <v>6982.9549999999999</v>
      </c>
      <c r="AH88">
        <v>6515.5324999999993</v>
      </c>
    </row>
    <row r="89" spans="1:34" x14ac:dyDescent="0.3">
      <c r="A89" t="s">
        <v>22</v>
      </c>
      <c r="B89">
        <v>2004</v>
      </c>
      <c r="C89">
        <v>751.49</v>
      </c>
      <c r="D89">
        <v>476.7</v>
      </c>
      <c r="E89" t="s">
        <v>10</v>
      </c>
      <c r="J89" s="3">
        <v>2022</v>
      </c>
      <c r="K89">
        <v>2355.665</v>
      </c>
      <c r="L89">
        <v>5484.69</v>
      </c>
      <c r="M89">
        <v>1593.8500000000001</v>
      </c>
      <c r="N89">
        <v>2166.605</v>
      </c>
      <c r="Q89">
        <v>2413.8474999999999</v>
      </c>
      <c r="AA89" s="3">
        <v>2023</v>
      </c>
      <c r="AC89">
        <v>3011.79</v>
      </c>
      <c r="AD89">
        <v>3442.45</v>
      </c>
      <c r="AE89">
        <v>2925.7000000000003</v>
      </c>
      <c r="AF89">
        <v>2363.67</v>
      </c>
      <c r="AH89">
        <v>3005.3514285714286</v>
      </c>
    </row>
    <row r="90" spans="1:34" x14ac:dyDescent="0.3">
      <c r="A90" t="s">
        <v>11</v>
      </c>
      <c r="B90">
        <v>2011</v>
      </c>
      <c r="C90">
        <v>4774.17</v>
      </c>
      <c r="D90">
        <v>878.15</v>
      </c>
      <c r="E90" t="s">
        <v>12</v>
      </c>
      <c r="J90" s="3">
        <v>2023</v>
      </c>
      <c r="L90">
        <v>1226.23</v>
      </c>
      <c r="M90">
        <v>3252.3850000000002</v>
      </c>
      <c r="N90">
        <v>4954.8499999999995</v>
      </c>
      <c r="O90">
        <v>2448.39</v>
      </c>
      <c r="Q90">
        <v>3577.7057142857147</v>
      </c>
      <c r="AA90" s="3" t="s">
        <v>25</v>
      </c>
      <c r="AB90">
        <v>4695.1850000000013</v>
      </c>
      <c r="AC90">
        <v>4172.5140425531918</v>
      </c>
      <c r="AD90">
        <v>4477.2575555555559</v>
      </c>
      <c r="AE90">
        <v>3776.4153529411769</v>
      </c>
      <c r="AF90">
        <v>4540.8719545454551</v>
      </c>
      <c r="AG90">
        <v>4389.5681250000007</v>
      </c>
      <c r="AH90">
        <v>4245.3645025125634</v>
      </c>
    </row>
    <row r="91" spans="1:34" x14ac:dyDescent="0.3">
      <c r="A91" t="s">
        <v>13</v>
      </c>
      <c r="B91">
        <v>2016</v>
      </c>
      <c r="C91">
        <v>6218.44</v>
      </c>
      <c r="D91">
        <v>2990.46</v>
      </c>
      <c r="E91" t="s">
        <v>14</v>
      </c>
      <c r="J91" s="3" t="s">
        <v>25</v>
      </c>
      <c r="K91">
        <v>3963.1738888888885</v>
      </c>
      <c r="L91">
        <v>3645.2931914893629</v>
      </c>
      <c r="M91">
        <v>3554.35</v>
      </c>
      <c r="N91">
        <v>3750.0729411764701</v>
      </c>
      <c r="O91">
        <v>3913.3959090909102</v>
      </c>
      <c r="P91">
        <v>3585.0149999999994</v>
      </c>
      <c r="Q91">
        <v>3705.1272864321613</v>
      </c>
    </row>
    <row r="92" spans="1:34" x14ac:dyDescent="0.3">
      <c r="A92" t="s">
        <v>19</v>
      </c>
      <c r="B92">
        <v>2022</v>
      </c>
      <c r="C92">
        <v>7075.74</v>
      </c>
      <c r="D92">
        <v>3567.6</v>
      </c>
      <c r="E92" t="s">
        <v>10</v>
      </c>
    </row>
    <row r="93" spans="1:34" x14ac:dyDescent="0.3">
      <c r="A93" t="s">
        <v>13</v>
      </c>
      <c r="B93">
        <v>2012</v>
      </c>
      <c r="C93">
        <v>3065.61</v>
      </c>
      <c r="D93">
        <v>4360.1400000000003</v>
      </c>
      <c r="E93" t="s">
        <v>14</v>
      </c>
    </row>
    <row r="94" spans="1:34" x14ac:dyDescent="0.3">
      <c r="A94" t="s">
        <v>11</v>
      </c>
      <c r="B94">
        <v>2022</v>
      </c>
      <c r="C94">
        <v>6659.43</v>
      </c>
      <c r="D94">
        <v>2324.9699999999998</v>
      </c>
      <c r="E94" t="s">
        <v>12</v>
      </c>
    </row>
    <row r="95" spans="1:34" x14ac:dyDescent="0.3">
      <c r="A95" t="s">
        <v>15</v>
      </c>
      <c r="B95">
        <v>2002</v>
      </c>
      <c r="C95">
        <v>1329.74</v>
      </c>
      <c r="D95">
        <v>4986.88</v>
      </c>
      <c r="E95" t="s">
        <v>8</v>
      </c>
    </row>
    <row r="96" spans="1:34" x14ac:dyDescent="0.3">
      <c r="A96" t="s">
        <v>22</v>
      </c>
      <c r="B96">
        <v>2008</v>
      </c>
      <c r="C96">
        <v>6848.39</v>
      </c>
      <c r="D96">
        <v>6076.81</v>
      </c>
      <c r="E96" t="s">
        <v>10</v>
      </c>
    </row>
    <row r="97" spans="1:5" x14ac:dyDescent="0.3">
      <c r="A97" t="s">
        <v>20</v>
      </c>
      <c r="B97">
        <v>2016</v>
      </c>
      <c r="C97">
        <v>1456.16</v>
      </c>
      <c r="D97">
        <v>5547.02</v>
      </c>
      <c r="E97" t="s">
        <v>18</v>
      </c>
    </row>
    <row r="98" spans="1:5" x14ac:dyDescent="0.3">
      <c r="A98" t="s">
        <v>20</v>
      </c>
      <c r="B98">
        <v>2016</v>
      </c>
      <c r="C98">
        <v>3479.65</v>
      </c>
      <c r="D98">
        <v>661.48</v>
      </c>
      <c r="E98" t="s">
        <v>18</v>
      </c>
    </row>
    <row r="99" spans="1:5" x14ac:dyDescent="0.3">
      <c r="A99" t="s">
        <v>20</v>
      </c>
      <c r="B99">
        <v>2019</v>
      </c>
      <c r="C99">
        <v>6479.72</v>
      </c>
      <c r="D99">
        <v>3571.35</v>
      </c>
      <c r="E99" t="s">
        <v>18</v>
      </c>
    </row>
    <row r="100" spans="1:5" x14ac:dyDescent="0.3">
      <c r="A100" t="s">
        <v>22</v>
      </c>
      <c r="B100">
        <v>2015</v>
      </c>
      <c r="C100">
        <v>1624.38</v>
      </c>
      <c r="D100">
        <v>1092.54</v>
      </c>
      <c r="E100" t="s">
        <v>10</v>
      </c>
    </row>
    <row r="101" spans="1:5" x14ac:dyDescent="0.3">
      <c r="A101" t="s">
        <v>21</v>
      </c>
      <c r="B101">
        <v>2021</v>
      </c>
      <c r="C101">
        <v>2219.39</v>
      </c>
      <c r="D101">
        <v>1997.5</v>
      </c>
      <c r="E101" t="s">
        <v>18</v>
      </c>
    </row>
    <row r="102" spans="1:5" x14ac:dyDescent="0.3">
      <c r="A102" t="s">
        <v>22</v>
      </c>
      <c r="B102">
        <v>2012</v>
      </c>
      <c r="C102">
        <v>5916.89</v>
      </c>
      <c r="D102">
        <v>6911.97</v>
      </c>
      <c r="E102" t="s">
        <v>10</v>
      </c>
    </row>
    <row r="103" spans="1:5" x14ac:dyDescent="0.3">
      <c r="A103" t="s">
        <v>5</v>
      </c>
      <c r="B103">
        <v>2018</v>
      </c>
      <c r="C103">
        <v>5900.27</v>
      </c>
      <c r="D103">
        <v>1340.47</v>
      </c>
      <c r="E103" t="s">
        <v>6</v>
      </c>
    </row>
    <row r="104" spans="1:5" x14ac:dyDescent="0.3">
      <c r="A104" t="s">
        <v>22</v>
      </c>
      <c r="B104">
        <v>2016</v>
      </c>
      <c r="C104">
        <v>5308.61</v>
      </c>
      <c r="D104">
        <v>3692.66</v>
      </c>
      <c r="E104" t="s">
        <v>10</v>
      </c>
    </row>
    <row r="105" spans="1:5" x14ac:dyDescent="0.3">
      <c r="A105" t="s">
        <v>11</v>
      </c>
      <c r="B105">
        <v>2003</v>
      </c>
      <c r="C105">
        <v>5704.61</v>
      </c>
      <c r="D105">
        <v>4479.83</v>
      </c>
      <c r="E105" t="s">
        <v>12</v>
      </c>
    </row>
    <row r="106" spans="1:5" x14ac:dyDescent="0.3">
      <c r="A106" t="s">
        <v>21</v>
      </c>
      <c r="B106">
        <v>2011</v>
      </c>
      <c r="C106">
        <v>4570.43</v>
      </c>
      <c r="D106">
        <v>5036.2700000000004</v>
      </c>
      <c r="E106" t="s">
        <v>18</v>
      </c>
    </row>
    <row r="107" spans="1:5" x14ac:dyDescent="0.3">
      <c r="A107" t="s">
        <v>20</v>
      </c>
      <c r="B107">
        <v>2008</v>
      </c>
      <c r="C107">
        <v>2388.4899999999998</v>
      </c>
      <c r="D107">
        <v>4093.68</v>
      </c>
      <c r="E107" t="s">
        <v>18</v>
      </c>
    </row>
    <row r="108" spans="1:5" x14ac:dyDescent="0.3">
      <c r="A108" t="s">
        <v>11</v>
      </c>
      <c r="B108">
        <v>2018</v>
      </c>
      <c r="C108">
        <v>3092.72</v>
      </c>
      <c r="D108">
        <v>464.49</v>
      </c>
      <c r="E108" t="s">
        <v>12</v>
      </c>
    </row>
    <row r="109" spans="1:5" x14ac:dyDescent="0.3">
      <c r="A109" t="s">
        <v>11</v>
      </c>
      <c r="B109">
        <v>2011</v>
      </c>
      <c r="C109">
        <v>1861.98</v>
      </c>
      <c r="D109">
        <v>2554.64</v>
      </c>
      <c r="E109" t="s">
        <v>12</v>
      </c>
    </row>
    <row r="110" spans="1:5" x14ac:dyDescent="0.3">
      <c r="A110" t="s">
        <v>9</v>
      </c>
      <c r="B110">
        <v>2008</v>
      </c>
      <c r="C110">
        <v>7313.38</v>
      </c>
      <c r="D110">
        <v>3816.9</v>
      </c>
      <c r="E110" t="s">
        <v>10</v>
      </c>
    </row>
    <row r="111" spans="1:5" x14ac:dyDescent="0.3">
      <c r="A111" t="s">
        <v>16</v>
      </c>
      <c r="B111">
        <v>2006</v>
      </c>
      <c r="C111">
        <v>4875.4399999999996</v>
      </c>
      <c r="D111">
        <v>979.92</v>
      </c>
      <c r="E111" t="s">
        <v>8</v>
      </c>
    </row>
    <row r="112" spans="1:5" x14ac:dyDescent="0.3">
      <c r="A112" t="s">
        <v>21</v>
      </c>
      <c r="B112">
        <v>2013</v>
      </c>
      <c r="C112">
        <v>3506.39</v>
      </c>
      <c r="D112">
        <v>2714.14</v>
      </c>
      <c r="E112" t="s">
        <v>18</v>
      </c>
    </row>
    <row r="113" spans="1:5" x14ac:dyDescent="0.3">
      <c r="A113" t="s">
        <v>11</v>
      </c>
      <c r="B113">
        <v>2019</v>
      </c>
      <c r="C113">
        <v>3965.04</v>
      </c>
      <c r="D113">
        <v>619.14</v>
      </c>
      <c r="E113" t="s">
        <v>12</v>
      </c>
    </row>
    <row r="114" spans="1:5" x14ac:dyDescent="0.3">
      <c r="A114" t="s">
        <v>16</v>
      </c>
      <c r="B114">
        <v>2018</v>
      </c>
      <c r="C114">
        <v>7604.63</v>
      </c>
      <c r="D114">
        <v>918.62</v>
      </c>
      <c r="E114" t="s">
        <v>8</v>
      </c>
    </row>
    <row r="115" spans="1:5" x14ac:dyDescent="0.3">
      <c r="A115" t="s">
        <v>16</v>
      </c>
      <c r="B115">
        <v>2014</v>
      </c>
      <c r="C115">
        <v>1650.14</v>
      </c>
      <c r="D115">
        <v>3019.69</v>
      </c>
      <c r="E115" t="s">
        <v>8</v>
      </c>
    </row>
    <row r="116" spans="1:5" x14ac:dyDescent="0.3">
      <c r="A116" t="s">
        <v>21</v>
      </c>
      <c r="B116">
        <v>2015</v>
      </c>
      <c r="C116">
        <v>4896.72</v>
      </c>
      <c r="D116">
        <v>1275.92</v>
      </c>
      <c r="E116" t="s">
        <v>18</v>
      </c>
    </row>
    <row r="117" spans="1:5" x14ac:dyDescent="0.3">
      <c r="A117" t="s">
        <v>9</v>
      </c>
      <c r="B117">
        <v>2020</v>
      </c>
      <c r="C117">
        <v>4294.17</v>
      </c>
      <c r="D117">
        <v>4145.7700000000004</v>
      </c>
      <c r="E117" t="s">
        <v>10</v>
      </c>
    </row>
    <row r="118" spans="1:5" x14ac:dyDescent="0.3">
      <c r="A118" t="s">
        <v>13</v>
      </c>
      <c r="B118">
        <v>2004</v>
      </c>
      <c r="C118">
        <v>5085.91</v>
      </c>
      <c r="D118">
        <v>4950.47</v>
      </c>
      <c r="E118" t="s">
        <v>14</v>
      </c>
    </row>
    <row r="119" spans="1:5" x14ac:dyDescent="0.3">
      <c r="A119" t="s">
        <v>15</v>
      </c>
      <c r="B119">
        <v>2002</v>
      </c>
      <c r="C119">
        <v>635.83000000000004</v>
      </c>
      <c r="D119">
        <v>5683.87</v>
      </c>
      <c r="E119" t="s">
        <v>8</v>
      </c>
    </row>
    <row r="120" spans="1:5" x14ac:dyDescent="0.3">
      <c r="A120" t="s">
        <v>5</v>
      </c>
      <c r="B120">
        <v>2011</v>
      </c>
      <c r="C120">
        <v>7040.93</v>
      </c>
      <c r="D120">
        <v>1720.99</v>
      </c>
      <c r="E120" t="s">
        <v>6</v>
      </c>
    </row>
    <row r="121" spans="1:5" x14ac:dyDescent="0.3">
      <c r="A121" t="s">
        <v>15</v>
      </c>
      <c r="B121">
        <v>2019</v>
      </c>
      <c r="C121">
        <v>7490.89</v>
      </c>
      <c r="D121">
        <v>1505.39</v>
      </c>
      <c r="E121" t="s">
        <v>8</v>
      </c>
    </row>
    <row r="122" spans="1:5" x14ac:dyDescent="0.3">
      <c r="A122" t="s">
        <v>22</v>
      </c>
      <c r="B122">
        <v>2020</v>
      </c>
      <c r="C122">
        <v>4738.5</v>
      </c>
      <c r="D122">
        <v>1090.1500000000001</v>
      </c>
      <c r="E122" t="s">
        <v>10</v>
      </c>
    </row>
    <row r="123" spans="1:5" x14ac:dyDescent="0.3">
      <c r="A123" t="s">
        <v>20</v>
      </c>
      <c r="B123">
        <v>2003</v>
      </c>
      <c r="C123">
        <v>5724.88</v>
      </c>
      <c r="D123">
        <v>4600.4399999999996</v>
      </c>
      <c r="E123" t="s">
        <v>18</v>
      </c>
    </row>
    <row r="124" spans="1:5" x14ac:dyDescent="0.3">
      <c r="A124" t="s">
        <v>5</v>
      </c>
      <c r="B124">
        <v>2020</v>
      </c>
      <c r="C124">
        <v>7418.75</v>
      </c>
      <c r="D124">
        <v>5062.74</v>
      </c>
      <c r="E124" t="s">
        <v>6</v>
      </c>
    </row>
    <row r="125" spans="1:5" x14ac:dyDescent="0.3">
      <c r="A125" t="s">
        <v>22</v>
      </c>
      <c r="B125">
        <v>2022</v>
      </c>
      <c r="C125">
        <v>5804.29</v>
      </c>
      <c r="D125">
        <v>608.47</v>
      </c>
      <c r="E125" t="s">
        <v>10</v>
      </c>
    </row>
    <row r="126" spans="1:5" x14ac:dyDescent="0.3">
      <c r="A126" t="s">
        <v>11</v>
      </c>
      <c r="B126">
        <v>2015</v>
      </c>
      <c r="C126">
        <v>1644.04</v>
      </c>
      <c r="D126">
        <v>6579</v>
      </c>
      <c r="E126" t="s">
        <v>12</v>
      </c>
    </row>
    <row r="127" spans="1:5" x14ac:dyDescent="0.3">
      <c r="A127" t="s">
        <v>20</v>
      </c>
      <c r="B127">
        <v>2006</v>
      </c>
      <c r="C127">
        <v>4822.16</v>
      </c>
      <c r="D127">
        <v>743.01</v>
      </c>
      <c r="E127" t="s">
        <v>18</v>
      </c>
    </row>
    <row r="128" spans="1:5" x14ac:dyDescent="0.3">
      <c r="A128" t="s">
        <v>19</v>
      </c>
      <c r="B128">
        <v>2012</v>
      </c>
      <c r="C128">
        <v>5050.3599999999997</v>
      </c>
      <c r="D128">
        <v>3972.56</v>
      </c>
      <c r="E128" t="s">
        <v>10</v>
      </c>
    </row>
    <row r="129" spans="1:5" x14ac:dyDescent="0.3">
      <c r="A129" t="s">
        <v>21</v>
      </c>
      <c r="B129">
        <v>2020</v>
      </c>
      <c r="C129">
        <v>3680.98</v>
      </c>
      <c r="D129">
        <v>5079.8</v>
      </c>
      <c r="E129" t="s">
        <v>18</v>
      </c>
    </row>
    <row r="130" spans="1:5" x14ac:dyDescent="0.3">
      <c r="A130" t="s">
        <v>5</v>
      </c>
      <c r="B130">
        <v>2009</v>
      </c>
      <c r="C130">
        <v>6023.33</v>
      </c>
      <c r="D130">
        <v>6148.4</v>
      </c>
      <c r="E130" t="s">
        <v>6</v>
      </c>
    </row>
    <row r="131" spans="1:5" x14ac:dyDescent="0.3">
      <c r="A131" t="s">
        <v>5</v>
      </c>
      <c r="B131">
        <v>2006</v>
      </c>
      <c r="C131">
        <v>7507.75</v>
      </c>
      <c r="D131">
        <v>5112.97</v>
      </c>
      <c r="E131" t="s">
        <v>6</v>
      </c>
    </row>
    <row r="132" spans="1:5" x14ac:dyDescent="0.3">
      <c r="A132" t="s">
        <v>11</v>
      </c>
      <c r="B132">
        <v>2013</v>
      </c>
      <c r="C132">
        <v>7441.76</v>
      </c>
      <c r="D132">
        <v>5691.41</v>
      </c>
      <c r="E132" t="s">
        <v>12</v>
      </c>
    </row>
    <row r="133" spans="1:5" x14ac:dyDescent="0.3">
      <c r="A133" t="s">
        <v>13</v>
      </c>
      <c r="B133">
        <v>2004</v>
      </c>
      <c r="C133">
        <v>3881.3</v>
      </c>
      <c r="D133">
        <v>2640.37</v>
      </c>
      <c r="E133" t="s">
        <v>14</v>
      </c>
    </row>
    <row r="134" spans="1:5" x14ac:dyDescent="0.3">
      <c r="A134" t="s">
        <v>16</v>
      </c>
      <c r="B134">
        <v>2002</v>
      </c>
      <c r="C134">
        <v>1349.29</v>
      </c>
      <c r="D134">
        <v>5777.85</v>
      </c>
      <c r="E134" t="s">
        <v>8</v>
      </c>
    </row>
    <row r="135" spans="1:5" x14ac:dyDescent="0.3">
      <c r="A135" t="s">
        <v>20</v>
      </c>
      <c r="B135">
        <v>2022</v>
      </c>
      <c r="C135">
        <v>7886.31</v>
      </c>
      <c r="D135">
        <v>928.76</v>
      </c>
      <c r="E135" t="s">
        <v>18</v>
      </c>
    </row>
    <row r="136" spans="1:5" x14ac:dyDescent="0.3">
      <c r="A136" t="s">
        <v>11</v>
      </c>
      <c r="B136">
        <v>2010</v>
      </c>
      <c r="C136">
        <v>6791.74</v>
      </c>
      <c r="D136">
        <v>6305.79</v>
      </c>
      <c r="E136" t="s">
        <v>12</v>
      </c>
    </row>
    <row r="137" spans="1:5" x14ac:dyDescent="0.3">
      <c r="A137" t="s">
        <v>17</v>
      </c>
      <c r="B137">
        <v>2010</v>
      </c>
      <c r="C137">
        <v>1434.97</v>
      </c>
      <c r="D137">
        <v>4014.11</v>
      </c>
      <c r="E137" t="s">
        <v>18</v>
      </c>
    </row>
    <row r="138" spans="1:5" x14ac:dyDescent="0.3">
      <c r="A138" t="s">
        <v>9</v>
      </c>
      <c r="B138">
        <v>2017</v>
      </c>
      <c r="C138">
        <v>7406.31</v>
      </c>
      <c r="D138">
        <v>5794.17</v>
      </c>
      <c r="E138" t="s">
        <v>10</v>
      </c>
    </row>
    <row r="139" spans="1:5" x14ac:dyDescent="0.3">
      <c r="A139" t="s">
        <v>16</v>
      </c>
      <c r="B139">
        <v>2014</v>
      </c>
      <c r="C139">
        <v>7024.22</v>
      </c>
      <c r="D139">
        <v>3385.3</v>
      </c>
      <c r="E139" t="s">
        <v>8</v>
      </c>
    </row>
    <row r="140" spans="1:5" x14ac:dyDescent="0.3">
      <c r="A140" t="s">
        <v>21</v>
      </c>
      <c r="B140">
        <v>2011</v>
      </c>
      <c r="C140">
        <v>4391.29</v>
      </c>
      <c r="D140">
        <v>4647.6099999999997</v>
      </c>
      <c r="E140" t="s">
        <v>18</v>
      </c>
    </row>
    <row r="141" spans="1:5" x14ac:dyDescent="0.3">
      <c r="A141" t="s">
        <v>16</v>
      </c>
      <c r="B141">
        <v>2008</v>
      </c>
      <c r="C141">
        <v>4934.57</v>
      </c>
      <c r="D141">
        <v>3874.26</v>
      </c>
      <c r="E141" t="s">
        <v>8</v>
      </c>
    </row>
    <row r="142" spans="1:5" x14ac:dyDescent="0.3">
      <c r="A142" t="s">
        <v>13</v>
      </c>
      <c r="B142">
        <v>2009</v>
      </c>
      <c r="C142">
        <v>3492.52</v>
      </c>
      <c r="D142">
        <v>5228.49</v>
      </c>
      <c r="E142" t="s">
        <v>14</v>
      </c>
    </row>
    <row r="143" spans="1:5" x14ac:dyDescent="0.3">
      <c r="A143" t="s">
        <v>16</v>
      </c>
      <c r="B143">
        <v>2011</v>
      </c>
      <c r="C143">
        <v>910.71</v>
      </c>
      <c r="D143">
        <v>938.76</v>
      </c>
      <c r="E143" t="s">
        <v>8</v>
      </c>
    </row>
    <row r="144" spans="1:5" x14ac:dyDescent="0.3">
      <c r="A144" t="s">
        <v>21</v>
      </c>
      <c r="B144">
        <v>2016</v>
      </c>
      <c r="C144">
        <v>3013.98</v>
      </c>
      <c r="D144">
        <v>798.32</v>
      </c>
      <c r="E144" t="s">
        <v>18</v>
      </c>
    </row>
    <row r="145" spans="1:5" x14ac:dyDescent="0.3">
      <c r="A145" t="s">
        <v>13</v>
      </c>
      <c r="B145">
        <v>2005</v>
      </c>
      <c r="C145">
        <v>6521.4</v>
      </c>
      <c r="D145">
        <v>2030.88</v>
      </c>
      <c r="E145" t="s">
        <v>14</v>
      </c>
    </row>
    <row r="146" spans="1:5" x14ac:dyDescent="0.3">
      <c r="A146" t="s">
        <v>15</v>
      </c>
      <c r="B146">
        <v>2006</v>
      </c>
      <c r="C146">
        <v>534.74</v>
      </c>
      <c r="D146">
        <v>1452.99</v>
      </c>
      <c r="E146" t="s">
        <v>8</v>
      </c>
    </row>
    <row r="147" spans="1:5" x14ac:dyDescent="0.3">
      <c r="A147" t="s">
        <v>5</v>
      </c>
      <c r="B147">
        <v>2013</v>
      </c>
      <c r="C147">
        <v>3001.24</v>
      </c>
      <c r="D147">
        <v>6153.77</v>
      </c>
      <c r="E147" t="s">
        <v>6</v>
      </c>
    </row>
    <row r="148" spans="1:5" x14ac:dyDescent="0.3">
      <c r="A148" t="s">
        <v>5</v>
      </c>
      <c r="B148">
        <v>2012</v>
      </c>
      <c r="C148">
        <v>3486.27</v>
      </c>
      <c r="D148">
        <v>1846.81</v>
      </c>
      <c r="E148" t="s">
        <v>6</v>
      </c>
    </row>
    <row r="149" spans="1:5" x14ac:dyDescent="0.3">
      <c r="A149" t="s">
        <v>9</v>
      </c>
      <c r="B149">
        <v>2007</v>
      </c>
      <c r="C149">
        <v>4530.47</v>
      </c>
      <c r="D149">
        <v>6840.71</v>
      </c>
      <c r="E149" t="s">
        <v>10</v>
      </c>
    </row>
    <row r="150" spans="1:5" x14ac:dyDescent="0.3">
      <c r="A150" t="s">
        <v>22</v>
      </c>
      <c r="B150">
        <v>2009</v>
      </c>
      <c r="C150">
        <v>7398.92</v>
      </c>
      <c r="D150">
        <v>2623.51</v>
      </c>
      <c r="E150" t="s">
        <v>10</v>
      </c>
    </row>
    <row r="151" spans="1:5" x14ac:dyDescent="0.3">
      <c r="A151" t="s">
        <v>15</v>
      </c>
      <c r="B151">
        <v>2008</v>
      </c>
      <c r="C151">
        <v>3097.59</v>
      </c>
      <c r="D151">
        <v>1601.98</v>
      </c>
      <c r="E151" t="s">
        <v>8</v>
      </c>
    </row>
    <row r="152" spans="1:5" x14ac:dyDescent="0.3">
      <c r="A152" t="s">
        <v>15</v>
      </c>
      <c r="B152">
        <v>2017</v>
      </c>
      <c r="C152">
        <v>3102.15</v>
      </c>
      <c r="D152">
        <v>5612.01</v>
      </c>
      <c r="E152" t="s">
        <v>8</v>
      </c>
    </row>
    <row r="153" spans="1:5" x14ac:dyDescent="0.3">
      <c r="A153" t="s">
        <v>20</v>
      </c>
      <c r="B153">
        <v>2001</v>
      </c>
      <c r="C153">
        <v>6031.26</v>
      </c>
      <c r="D153">
        <v>4747.47</v>
      </c>
      <c r="E153" t="s">
        <v>18</v>
      </c>
    </row>
    <row r="154" spans="1:5" x14ac:dyDescent="0.3">
      <c r="A154" t="s">
        <v>16</v>
      </c>
      <c r="B154">
        <v>2004</v>
      </c>
      <c r="C154">
        <v>3891.63</v>
      </c>
      <c r="D154">
        <v>3688.09</v>
      </c>
      <c r="E154" t="s">
        <v>8</v>
      </c>
    </row>
    <row r="155" spans="1:5" x14ac:dyDescent="0.3">
      <c r="A155" t="s">
        <v>5</v>
      </c>
      <c r="B155">
        <v>2004</v>
      </c>
      <c r="C155">
        <v>2184.54</v>
      </c>
      <c r="D155">
        <v>4065.4</v>
      </c>
      <c r="E155" t="s">
        <v>6</v>
      </c>
    </row>
    <row r="156" spans="1:5" x14ac:dyDescent="0.3">
      <c r="A156" t="s">
        <v>21</v>
      </c>
      <c r="B156">
        <v>2005</v>
      </c>
      <c r="C156">
        <v>3893.3</v>
      </c>
      <c r="D156">
        <v>5146.7299999999996</v>
      </c>
      <c r="E156" t="s">
        <v>18</v>
      </c>
    </row>
    <row r="157" spans="1:5" x14ac:dyDescent="0.3">
      <c r="A157" t="s">
        <v>7</v>
      </c>
      <c r="B157">
        <v>2018</v>
      </c>
      <c r="C157">
        <v>1556.43</v>
      </c>
      <c r="D157">
        <v>1907.8</v>
      </c>
      <c r="E157" t="s">
        <v>8</v>
      </c>
    </row>
    <row r="158" spans="1:5" x14ac:dyDescent="0.3">
      <c r="A158" t="s">
        <v>7</v>
      </c>
      <c r="B158">
        <v>2007</v>
      </c>
      <c r="C158">
        <v>1822.9</v>
      </c>
      <c r="D158">
        <v>6975.8</v>
      </c>
      <c r="E158" t="s">
        <v>8</v>
      </c>
    </row>
    <row r="159" spans="1:5" x14ac:dyDescent="0.3">
      <c r="A159" t="s">
        <v>13</v>
      </c>
      <c r="B159">
        <v>2015</v>
      </c>
      <c r="C159">
        <v>4237.76</v>
      </c>
      <c r="D159">
        <v>6833.63</v>
      </c>
      <c r="E159" t="s">
        <v>14</v>
      </c>
    </row>
    <row r="160" spans="1:5" x14ac:dyDescent="0.3">
      <c r="A160" t="s">
        <v>5</v>
      </c>
      <c r="B160">
        <v>2012</v>
      </c>
      <c r="C160" s="1">
        <v>4383.0029999999997</v>
      </c>
      <c r="D160">
        <v>4692.1499999999996</v>
      </c>
      <c r="E160" t="s">
        <v>6</v>
      </c>
    </row>
    <row r="161" spans="1:5" x14ac:dyDescent="0.3">
      <c r="A161" t="s">
        <v>5</v>
      </c>
      <c r="B161">
        <v>2000</v>
      </c>
      <c r="C161">
        <v>7361.34</v>
      </c>
      <c r="D161">
        <v>1716.98</v>
      </c>
      <c r="E161" t="s">
        <v>6</v>
      </c>
    </row>
    <row r="162" spans="1:5" x14ac:dyDescent="0.3">
      <c r="A162" t="s">
        <v>9</v>
      </c>
      <c r="B162">
        <v>2021</v>
      </c>
      <c r="C162">
        <v>3217.95</v>
      </c>
      <c r="D162">
        <v>4889.51</v>
      </c>
      <c r="E162" t="s">
        <v>10</v>
      </c>
    </row>
    <row r="163" spans="1:5" x14ac:dyDescent="0.3">
      <c r="A163" t="s">
        <v>7</v>
      </c>
      <c r="B163">
        <v>2019</v>
      </c>
      <c r="C163">
        <v>4854.41</v>
      </c>
      <c r="D163">
        <v>876.51</v>
      </c>
      <c r="E163" t="s">
        <v>8</v>
      </c>
    </row>
    <row r="164" spans="1:5" x14ac:dyDescent="0.3">
      <c r="A164" t="s">
        <v>5</v>
      </c>
      <c r="B164">
        <v>2016</v>
      </c>
      <c r="C164">
        <v>5241.9799999999996</v>
      </c>
      <c r="D164">
        <v>602.30999999999995</v>
      </c>
      <c r="E164" t="s">
        <v>6</v>
      </c>
    </row>
    <row r="165" spans="1:5" x14ac:dyDescent="0.3">
      <c r="A165" t="s">
        <v>9</v>
      </c>
      <c r="B165">
        <v>2006</v>
      </c>
      <c r="C165">
        <v>598.21</v>
      </c>
      <c r="D165">
        <v>2100.71</v>
      </c>
      <c r="E165" t="s">
        <v>10</v>
      </c>
    </row>
    <row r="166" spans="1:5" x14ac:dyDescent="0.3">
      <c r="A166" t="s">
        <v>16</v>
      </c>
      <c r="B166">
        <v>2012</v>
      </c>
      <c r="C166">
        <v>5476.53</v>
      </c>
      <c r="D166">
        <v>3453.31</v>
      </c>
      <c r="E166" t="s">
        <v>8</v>
      </c>
    </row>
    <row r="167" spans="1:5" x14ac:dyDescent="0.3">
      <c r="A167" t="s">
        <v>17</v>
      </c>
      <c r="B167">
        <v>2003</v>
      </c>
      <c r="C167">
        <v>1835.27</v>
      </c>
      <c r="D167">
        <v>6130.6</v>
      </c>
      <c r="E167" t="s">
        <v>18</v>
      </c>
    </row>
    <row r="168" spans="1:5" x14ac:dyDescent="0.3">
      <c r="A168" t="s">
        <v>20</v>
      </c>
      <c r="B168">
        <v>2003</v>
      </c>
      <c r="C168">
        <v>7708.03</v>
      </c>
      <c r="D168">
        <v>5199.32</v>
      </c>
      <c r="E168" t="s">
        <v>18</v>
      </c>
    </row>
    <row r="169" spans="1:5" x14ac:dyDescent="0.3">
      <c r="A169" t="s">
        <v>19</v>
      </c>
      <c r="B169">
        <v>2005</v>
      </c>
      <c r="C169">
        <v>1614.97</v>
      </c>
      <c r="D169">
        <v>5301.86</v>
      </c>
      <c r="E169" t="s">
        <v>10</v>
      </c>
    </row>
    <row r="170" spans="1:5" x14ac:dyDescent="0.3">
      <c r="A170" t="s">
        <v>15</v>
      </c>
      <c r="B170">
        <v>2018</v>
      </c>
      <c r="C170">
        <v>3609.68</v>
      </c>
      <c r="D170">
        <v>3208.26</v>
      </c>
      <c r="E170" t="s">
        <v>8</v>
      </c>
    </row>
    <row r="171" spans="1:5" x14ac:dyDescent="0.3">
      <c r="A171" t="s">
        <v>22</v>
      </c>
      <c r="B171">
        <v>2011</v>
      </c>
      <c r="C171">
        <v>1140.1199999999999</v>
      </c>
      <c r="D171">
        <v>2683.17</v>
      </c>
      <c r="E171" t="s">
        <v>10</v>
      </c>
    </row>
    <row r="172" spans="1:5" x14ac:dyDescent="0.3">
      <c r="A172" t="s">
        <v>13</v>
      </c>
      <c r="B172">
        <v>2021</v>
      </c>
      <c r="C172">
        <v>7976.56</v>
      </c>
      <c r="D172">
        <v>2848.86</v>
      </c>
      <c r="E172" t="s">
        <v>14</v>
      </c>
    </row>
    <row r="173" spans="1:5" x14ac:dyDescent="0.3">
      <c r="A173" t="s">
        <v>17</v>
      </c>
      <c r="B173">
        <v>2006</v>
      </c>
      <c r="C173">
        <v>4266.46</v>
      </c>
      <c r="D173">
        <v>6918.49</v>
      </c>
      <c r="E173" t="s">
        <v>18</v>
      </c>
    </row>
    <row r="174" spans="1:5" x14ac:dyDescent="0.3">
      <c r="A174" t="s">
        <v>20</v>
      </c>
      <c r="B174">
        <v>2009</v>
      </c>
      <c r="C174">
        <v>4965.3900000000003</v>
      </c>
      <c r="D174">
        <v>664.72</v>
      </c>
      <c r="E174" t="s">
        <v>18</v>
      </c>
    </row>
    <row r="175" spans="1:5" x14ac:dyDescent="0.3">
      <c r="A175" t="s">
        <v>20</v>
      </c>
      <c r="B175">
        <v>2018</v>
      </c>
      <c r="C175">
        <v>1003.07</v>
      </c>
      <c r="D175">
        <v>6122.41</v>
      </c>
      <c r="E175" t="s">
        <v>18</v>
      </c>
    </row>
    <row r="176" spans="1:5" x14ac:dyDescent="0.3">
      <c r="A176" t="s">
        <v>20</v>
      </c>
      <c r="B176">
        <v>2006</v>
      </c>
      <c r="C176" s="1">
        <v>4383.0029999999997</v>
      </c>
      <c r="D176">
        <v>4219.26</v>
      </c>
      <c r="E176" t="s">
        <v>18</v>
      </c>
    </row>
    <row r="177" spans="1:5" x14ac:dyDescent="0.3">
      <c r="A177" t="s">
        <v>20</v>
      </c>
      <c r="B177">
        <v>2002</v>
      </c>
      <c r="C177">
        <v>2074.29</v>
      </c>
      <c r="D177">
        <v>3294.86</v>
      </c>
      <c r="E177" t="s">
        <v>18</v>
      </c>
    </row>
    <row r="178" spans="1:5" x14ac:dyDescent="0.3">
      <c r="A178" t="s">
        <v>7</v>
      </c>
      <c r="B178">
        <v>2012</v>
      </c>
      <c r="C178">
        <v>7235.41</v>
      </c>
      <c r="D178">
        <v>5186.7</v>
      </c>
      <c r="E178" t="s">
        <v>8</v>
      </c>
    </row>
    <row r="179" spans="1:5" x14ac:dyDescent="0.3">
      <c r="A179" t="s">
        <v>9</v>
      </c>
      <c r="B179">
        <v>2012</v>
      </c>
      <c r="C179">
        <v>2038.55</v>
      </c>
      <c r="D179">
        <v>3612.02</v>
      </c>
      <c r="E179" t="s">
        <v>10</v>
      </c>
    </row>
    <row r="180" spans="1:5" x14ac:dyDescent="0.3">
      <c r="A180" t="s">
        <v>15</v>
      </c>
      <c r="B180">
        <v>2017</v>
      </c>
      <c r="C180">
        <v>1930.16</v>
      </c>
      <c r="D180">
        <v>6164.59</v>
      </c>
      <c r="E180" t="s">
        <v>8</v>
      </c>
    </row>
    <row r="181" spans="1:5" x14ac:dyDescent="0.3">
      <c r="A181" t="s">
        <v>5</v>
      </c>
      <c r="B181">
        <v>2019</v>
      </c>
      <c r="C181">
        <v>774.12</v>
      </c>
      <c r="D181">
        <v>6344.63</v>
      </c>
      <c r="E181" t="s">
        <v>6</v>
      </c>
    </row>
    <row r="182" spans="1:5" x14ac:dyDescent="0.3">
      <c r="A182" t="s">
        <v>20</v>
      </c>
      <c r="B182">
        <v>2007</v>
      </c>
      <c r="C182">
        <v>4040.5</v>
      </c>
      <c r="D182">
        <v>3183.36</v>
      </c>
      <c r="E182" t="s">
        <v>18</v>
      </c>
    </row>
    <row r="183" spans="1:5" x14ac:dyDescent="0.3">
      <c r="A183" t="s">
        <v>22</v>
      </c>
      <c r="B183">
        <v>2008</v>
      </c>
      <c r="C183">
        <v>4736.3100000000004</v>
      </c>
      <c r="D183">
        <v>2227.06</v>
      </c>
      <c r="E183" t="s">
        <v>10</v>
      </c>
    </row>
    <row r="184" spans="1:5" x14ac:dyDescent="0.3">
      <c r="A184" t="s">
        <v>5</v>
      </c>
      <c r="B184">
        <v>2006</v>
      </c>
      <c r="C184">
        <v>992.81</v>
      </c>
      <c r="D184">
        <v>4309.51</v>
      </c>
      <c r="E184" t="s">
        <v>6</v>
      </c>
    </row>
    <row r="185" spans="1:5" x14ac:dyDescent="0.3">
      <c r="A185" t="s">
        <v>21</v>
      </c>
      <c r="B185">
        <v>2000</v>
      </c>
      <c r="C185">
        <v>6316.46</v>
      </c>
      <c r="D185">
        <v>6421.6</v>
      </c>
      <c r="E185" t="s">
        <v>18</v>
      </c>
    </row>
    <row r="186" spans="1:5" x14ac:dyDescent="0.3">
      <c r="A186" t="s">
        <v>21</v>
      </c>
      <c r="B186">
        <v>2002</v>
      </c>
      <c r="C186">
        <v>3899.67</v>
      </c>
      <c r="D186">
        <v>1790.37</v>
      </c>
      <c r="E186" t="s">
        <v>18</v>
      </c>
    </row>
    <row r="187" spans="1:5" x14ac:dyDescent="0.3">
      <c r="A187" t="s">
        <v>22</v>
      </c>
      <c r="B187">
        <v>2012</v>
      </c>
      <c r="C187">
        <v>4432.93</v>
      </c>
      <c r="D187">
        <v>4511.58</v>
      </c>
      <c r="E187" t="s">
        <v>10</v>
      </c>
    </row>
    <row r="188" spans="1:5" x14ac:dyDescent="0.3">
      <c r="A188" t="s">
        <v>9</v>
      </c>
      <c r="B188">
        <v>2016</v>
      </c>
      <c r="C188">
        <v>3805.72</v>
      </c>
      <c r="D188">
        <v>4568.3</v>
      </c>
      <c r="E188" t="s">
        <v>10</v>
      </c>
    </row>
    <row r="189" spans="1:5" x14ac:dyDescent="0.3">
      <c r="A189" t="s">
        <v>22</v>
      </c>
      <c r="B189">
        <v>2023</v>
      </c>
      <c r="C189">
        <v>3505.72</v>
      </c>
      <c r="D189">
        <v>5238.55</v>
      </c>
      <c r="E189" t="s">
        <v>10</v>
      </c>
    </row>
    <row r="190" spans="1:5" x14ac:dyDescent="0.3">
      <c r="A190" t="s">
        <v>7</v>
      </c>
      <c r="B190">
        <v>2000</v>
      </c>
      <c r="C190">
        <v>4697.3</v>
      </c>
      <c r="D190">
        <v>1268.3499999999999</v>
      </c>
      <c r="E190" t="s">
        <v>8</v>
      </c>
    </row>
    <row r="191" spans="1:5" x14ac:dyDescent="0.3">
      <c r="A191" t="s">
        <v>22</v>
      </c>
      <c r="B191">
        <v>2005</v>
      </c>
      <c r="C191">
        <v>1664.3</v>
      </c>
      <c r="D191">
        <v>5124.4399999999996</v>
      </c>
      <c r="E191" t="s">
        <v>10</v>
      </c>
    </row>
    <row r="192" spans="1:5" x14ac:dyDescent="0.3">
      <c r="A192" t="s">
        <v>16</v>
      </c>
      <c r="B192">
        <v>2020</v>
      </c>
      <c r="C192">
        <v>1864.46</v>
      </c>
      <c r="D192">
        <v>6399.61</v>
      </c>
      <c r="E192" t="s">
        <v>8</v>
      </c>
    </row>
    <row r="193" spans="1:5" x14ac:dyDescent="0.3">
      <c r="A193" t="s">
        <v>5</v>
      </c>
      <c r="B193">
        <v>2005</v>
      </c>
      <c r="C193">
        <v>6963.39</v>
      </c>
      <c r="D193">
        <v>1585.91</v>
      </c>
      <c r="E193" t="s">
        <v>6</v>
      </c>
    </row>
    <row r="194" spans="1:5" x14ac:dyDescent="0.3">
      <c r="A194" t="s">
        <v>17</v>
      </c>
      <c r="B194">
        <v>2011</v>
      </c>
      <c r="C194">
        <v>7595.87</v>
      </c>
      <c r="D194">
        <v>1967.79</v>
      </c>
      <c r="E194" t="s">
        <v>18</v>
      </c>
    </row>
    <row r="195" spans="1:5" x14ac:dyDescent="0.3">
      <c r="A195" t="s">
        <v>11</v>
      </c>
      <c r="B195">
        <v>2012</v>
      </c>
      <c r="C195">
        <v>3299.82</v>
      </c>
      <c r="D195">
        <v>6811.21</v>
      </c>
      <c r="E195" t="s">
        <v>12</v>
      </c>
    </row>
    <row r="196" spans="1:5" x14ac:dyDescent="0.3">
      <c r="A196" t="s">
        <v>9</v>
      </c>
      <c r="B196">
        <v>2012</v>
      </c>
      <c r="C196">
        <v>2530.59</v>
      </c>
      <c r="D196">
        <v>1594.45</v>
      </c>
      <c r="E196" t="s">
        <v>10</v>
      </c>
    </row>
    <row r="197" spans="1:5" x14ac:dyDescent="0.3">
      <c r="A197" t="s">
        <v>22</v>
      </c>
      <c r="B197">
        <v>2014</v>
      </c>
      <c r="C197">
        <v>5330</v>
      </c>
      <c r="D197">
        <v>6038.94</v>
      </c>
      <c r="E197" t="s">
        <v>10</v>
      </c>
    </row>
    <row r="198" spans="1:5" x14ac:dyDescent="0.3">
      <c r="A198" t="s">
        <v>13</v>
      </c>
      <c r="B198">
        <v>2020</v>
      </c>
      <c r="C198">
        <v>3565.51</v>
      </c>
      <c r="D198">
        <v>3649.03</v>
      </c>
      <c r="E198" t="s">
        <v>14</v>
      </c>
    </row>
    <row r="199" spans="1:5" x14ac:dyDescent="0.3">
      <c r="A199" t="s">
        <v>21</v>
      </c>
      <c r="B199">
        <v>2015</v>
      </c>
      <c r="C199">
        <v>690.4</v>
      </c>
      <c r="D199">
        <v>2031.73</v>
      </c>
      <c r="E199" t="s">
        <v>18</v>
      </c>
    </row>
    <row r="200" spans="1:5" x14ac:dyDescent="0.3">
      <c r="A200" t="s">
        <v>16</v>
      </c>
      <c r="B200">
        <v>2021</v>
      </c>
      <c r="C200">
        <v>1671.14</v>
      </c>
      <c r="D200">
        <v>6146.95</v>
      </c>
      <c r="E200" t="s">
        <v>8</v>
      </c>
    </row>
  </sheetData>
  <conditionalFormatting sqref="L7">
    <cfRule type="duplicateValues" dxfId="0" priority="1"/>
  </conditionalFormatting>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 board</vt:lpstr>
      <vt:lpstr>01_Cost of Living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nguyen thang</cp:lastModifiedBy>
  <dcterms:created xsi:type="dcterms:W3CDTF">2024-12-20T01:57:10Z</dcterms:created>
  <dcterms:modified xsi:type="dcterms:W3CDTF">2026-01-27T08:31:20Z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2025-04-02T03:12:39Z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ee676dbe-0c64-482a-afed-517ad099a1ba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